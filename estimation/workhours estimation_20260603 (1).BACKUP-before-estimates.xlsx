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10" documentId="11_37EDD7B3B46F7233F6B07961CE4D3948509AB6A5" xr6:coauthVersionLast="47" xr6:coauthVersionMax="47" xr10:uidLastSave="{A05C2D1F-3C10-4C93-B063-460B27DB1C6B}"/>
  <bookViews>
    <workbookView xWindow="0" yWindow="0" windowWidth="16384" windowHeight="8192" tabRatio="500" xr2:uid="{00000000-000D-0000-FFFF-FFFF00000000}"/>
  </bookViews>
  <sheets>
    <sheet name="Eng Hearing Sheet" sheetId="1" r:id="rId1"/>
    <sheet name="Instructions" sheetId="2" r:id="rId2"/>
    <sheet name="Summary" sheetId="3" r:id="rId3"/>
  </sheets>
  <definedNames>
    <definedName name="_xlnm._FilterDatabase" localSheetId="0" hidden="1">'Eng Hearing Sheet'!$A$1:$K$65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1" i="3" l="1"/>
  <c r="D21" i="3"/>
  <c r="C21" i="3"/>
  <c r="F21" i="3" s="1"/>
  <c r="B21" i="3"/>
  <c r="E20" i="3"/>
  <c r="D20" i="3"/>
  <c r="C20" i="3"/>
  <c r="F20" i="3" s="1"/>
  <c r="B20" i="3"/>
  <c r="E19" i="3"/>
  <c r="D19" i="3"/>
  <c r="C19" i="3"/>
  <c r="F19" i="3" s="1"/>
  <c r="B19" i="3"/>
  <c r="E18" i="3"/>
  <c r="D18" i="3"/>
  <c r="C18" i="3"/>
  <c r="F18" i="3" s="1"/>
  <c r="B18" i="3"/>
  <c r="E17" i="3"/>
  <c r="D17" i="3"/>
  <c r="C17" i="3"/>
  <c r="F17" i="3" s="1"/>
  <c r="B17" i="3"/>
  <c r="E16" i="3"/>
  <c r="D16" i="3"/>
  <c r="C16" i="3"/>
  <c r="F16" i="3" s="1"/>
  <c r="B16" i="3"/>
  <c r="E15" i="3"/>
  <c r="D15" i="3"/>
  <c r="C15" i="3"/>
  <c r="F15" i="3" s="1"/>
  <c r="B15" i="3"/>
  <c r="E14" i="3"/>
  <c r="D14" i="3"/>
  <c r="C14" i="3"/>
  <c r="F14" i="3" s="1"/>
  <c r="B14" i="3"/>
  <c r="E13" i="3"/>
  <c r="D13" i="3"/>
  <c r="C13" i="3"/>
  <c r="F13" i="3" s="1"/>
  <c r="B13" i="3"/>
  <c r="E12" i="3"/>
  <c r="D12" i="3"/>
  <c r="C12" i="3"/>
  <c r="F12" i="3" s="1"/>
  <c r="B12" i="3"/>
  <c r="E11" i="3"/>
  <c r="D11" i="3"/>
  <c r="C11" i="3"/>
  <c r="F11" i="3" s="1"/>
  <c r="B11" i="3"/>
  <c r="E10" i="3"/>
  <c r="D10" i="3"/>
  <c r="C10" i="3"/>
  <c r="F10" i="3" s="1"/>
  <c r="B10" i="3"/>
  <c r="E9" i="3"/>
  <c r="D9" i="3"/>
  <c r="C9" i="3"/>
  <c r="F9" i="3" s="1"/>
  <c r="B9" i="3"/>
  <c r="E3" i="3"/>
  <c r="D3" i="3"/>
  <c r="C3" i="3"/>
  <c r="F3" i="3" s="1"/>
  <c r="B3" i="3"/>
  <c r="E2" i="3"/>
  <c r="E4" i="3" s="1"/>
  <c r="D2" i="3"/>
  <c r="D4" i="3" s="1"/>
  <c r="C2" i="3"/>
  <c r="B2" i="3"/>
  <c r="B4" i="3" s="1"/>
  <c r="C4" i="3" l="1"/>
  <c r="F2" i="3"/>
  <c r="F4" i="3" s="1"/>
</calcChain>
</file>

<file path=xl/sharedStrings.xml><?xml version="1.0" encoding="utf-8"?>
<sst xmlns="http://schemas.openxmlformats.org/spreadsheetml/2006/main" count="517" uniqueCount="354">
  <si>
    <t>Task ID</t>
  </si>
  <si>
    <t>Category</t>
  </si>
  <si>
    <t>Task</t>
  </si>
  <si>
    <t>Mode</t>
  </si>
  <si>
    <t>Spec Ref</t>
  </si>
  <si>
    <t>Spec Quote (Original Japanese)</t>
  </si>
  <si>
    <t>Context / Note (English)</t>
  </si>
  <si>
    <t>Min (hrs)</t>
  </si>
  <si>
    <t>Likely (hrs)</t>
  </si>
  <si>
    <t>Max (hrs)</t>
  </si>
  <si>
    <t>Engineer Comments</t>
  </si>
  <si>
    <t>2.6</t>
  </si>
  <si>
    <t>Requirements</t>
  </si>
  <si>
    <t>Reservation system integration design</t>
  </si>
  <si>
    <t>Detailed</t>
  </si>
  <si>
    <r>
      <rPr>
        <sz val="10"/>
        <rFont val="Arial"/>
        <charset val="1"/>
      </rPr>
      <t>8(2)</t>
    </r>
    <r>
      <rPr>
        <sz val="10"/>
        <rFont val="Noto Sans CJK SC"/>
        <family val="2"/>
      </rPr>
      <t>オ</t>
    </r>
  </si>
  <si>
    <t>予約システムについては、現行システムを継続利用するものとする。</t>
  </si>
  <si>
    <t>Client reservation system details unknown (awaiting answer). Estimate per scenario: (a) external link only, (b) iframe embed, (c) API integration.</t>
  </si>
  <si>
    <t>3.4</t>
  </si>
  <si>
    <t>Design</t>
  </si>
  <si>
    <t>System design docs (overview/basic/detail)</t>
  </si>
  <si>
    <t>12(1) No.5</t>
  </si>
  <si>
    <t>概要設計、基本設計、詳細設計等の各種システム構築に際して行う設計をまとめた資料</t>
  </si>
  <si>
    <t>Three-level design documentation required for public sector project. Estimate based on standard delivery level.</t>
  </si>
  <si>
    <t>3.6</t>
  </si>
  <si>
    <t>Server architecture / network design</t>
  </si>
  <si>
    <r>
      <rPr>
        <sz val="10"/>
        <rFont val="Arial"/>
        <charset val="1"/>
      </rPr>
      <t xml:space="preserve">5(3), </t>
    </r>
    <r>
      <rPr>
        <sz val="10"/>
        <rFont val="Noto Sans CJK SC"/>
        <family val="2"/>
      </rPr>
      <t>別記</t>
    </r>
    <r>
      <rPr>
        <sz val="10"/>
        <rFont val="Arial"/>
        <charset val="1"/>
      </rPr>
      <t>1</t>
    </r>
  </si>
  <si>
    <t>サイト運営に必要なサーバ(容量その他サイト運営に必要なスペックを考慮したものとする。)は受託者において確保し、必要な初期設定を行うこと。</t>
  </si>
  <si>
    <t>AWAITING CLIENT ANSWER. Estimate per scenario: (a) prefecture shared infrastructure, (b) external rental server.</t>
  </si>
  <si>
    <t>4.1</t>
  </si>
  <si>
    <t>Design (Visual)</t>
  </si>
  <si>
    <t>Design concept / tone definition</t>
  </si>
  <si>
    <r>
      <rPr>
        <sz val="10"/>
        <rFont val="Arial"/>
        <charset val="1"/>
      </rPr>
      <t>8(2)</t>
    </r>
    <r>
      <rPr>
        <sz val="10"/>
        <rFont val="Noto Sans CJK SC"/>
        <family val="2"/>
      </rPr>
      <t>ア</t>
    </r>
  </si>
  <si>
    <t>甲が提供するもののほか、独自のイラストや写真を使用し、ビジュアルで分かりやすいものとすること。</t>
  </si>
  <si>
    <t>Concept definition for museum site. Reference current site (https://www.muse.pref.tochigi.lg.jp/) which is dated. New direction needed.</t>
  </si>
  <si>
    <t>4.2</t>
  </si>
  <si>
    <t>Design comp - top page</t>
  </si>
  <si>
    <r>
      <rPr>
        <sz val="10"/>
        <rFont val="Arial"/>
        <charset val="1"/>
      </rPr>
      <t>8(2)</t>
    </r>
    <r>
      <rPr>
        <sz val="10"/>
        <rFont val="Noto Sans CJK SC"/>
        <family val="2"/>
      </rPr>
      <t>ウ</t>
    </r>
  </si>
  <si>
    <t>新サイトの全体設計、ページデザインやレイアウトの作成</t>
  </si>
  <si>
    <t>Top page is heaviest weighted in evaluation (20 points). Include revision rounds in estimate.</t>
  </si>
  <si>
    <t>4.3</t>
  </si>
  <si>
    <t>Design comps - lower-level templates</t>
  </si>
  <si>
    <t>Likely 3-5 template patterns: listing, detail article, info page, form page, event special page. Estimate per pattern.</t>
  </si>
  <si>
    <t>4.4</t>
  </si>
  <si>
    <t>Original illustration creation</t>
  </si>
  <si>
    <t>Quantity TBD. Estimate per piece for simple icon style vs detailed illustration.</t>
  </si>
  <si>
    <t>4.5</t>
  </si>
  <si>
    <t>Original photography / stock acquisition</t>
  </si>
  <si>
    <t>Either dispatch photographer to Utsunomiya, or curate stock images. Estimate both scenarios.</t>
  </si>
  <si>
    <t>4.6</t>
  </si>
  <si>
    <t>Accessibility-aware design</t>
  </si>
  <si>
    <r>
      <rPr>
        <sz val="10"/>
        <rFont val="Arial"/>
        <charset val="1"/>
      </rPr>
      <t>5(1)</t>
    </r>
    <r>
      <rPr>
        <sz val="10"/>
        <rFont val="Noto Sans CJK SC"/>
        <family val="2"/>
      </rPr>
      <t>キ</t>
    </r>
    <r>
      <rPr>
        <sz val="10"/>
        <rFont val="Arial"/>
        <charset val="1"/>
      </rPr>
      <t>(</t>
    </r>
    <r>
      <rPr>
        <sz val="10"/>
        <rFont val="Noto Sans CJK SC"/>
        <family val="2"/>
      </rPr>
      <t>ウ</t>
    </r>
    <r>
      <rPr>
        <sz val="10"/>
        <rFont val="Arial"/>
        <charset val="1"/>
      </rPr>
      <t>)</t>
    </r>
  </si>
  <si>
    <t>個人情報保護に関する法律及び JIS X 8341-3 に準拠した仕様とし、文字の視認性、色使い、画像の代替テキストへの配慮を行うこと。</t>
  </si>
  <si>
    <t>AWAITING CLIENT ANSWER. Estimate per scenario: (a) Level A only, (b) Level AA. Includes color contrast, focus states, alt text strategy.</t>
  </si>
  <si>
    <t>5.1</t>
  </si>
  <si>
    <t>Frontend</t>
  </si>
  <si>
    <t>Development environment setup</t>
  </si>
  <si>
    <t>Quick</t>
  </si>
  <si>
    <r>
      <rPr>
        <sz val="10"/>
        <rFont val="Arial"/>
        <charset val="1"/>
      </rPr>
      <t>5(1)</t>
    </r>
    <r>
      <rPr>
        <sz val="10"/>
        <rFont val="Noto Sans CJK SC"/>
        <family val="2"/>
      </rPr>
      <t>ア</t>
    </r>
  </si>
  <si>
    <t>受託者において開発環境を用意すること。</t>
  </si>
  <si>
    <t>Standard dev environment setup (Docker/local LAMP/etc.). Just give a rough number.</t>
  </si>
  <si>
    <t>5.2</t>
  </si>
  <si>
    <t>HTML/CSS common components</t>
  </si>
  <si>
    <r>
      <rPr>
        <sz val="10"/>
        <rFont val="Arial"/>
        <charset val="1"/>
      </rPr>
      <t>5(1)</t>
    </r>
    <r>
      <rPr>
        <sz val="10"/>
        <rFont val="Noto Sans CJK SC"/>
        <family val="2"/>
      </rPr>
      <t>キ</t>
    </r>
    <r>
      <rPr>
        <sz val="10"/>
        <rFont val="Arial"/>
        <charset val="1"/>
      </rPr>
      <t>(</t>
    </r>
    <r>
      <rPr>
        <sz val="10"/>
        <rFont val="Noto Sans CJK SC"/>
        <family val="2"/>
      </rPr>
      <t>イ</t>
    </r>
    <r>
      <rPr>
        <sz val="10"/>
        <rFont val="Arial"/>
        <charset val="1"/>
      </rPr>
      <t>)</t>
    </r>
  </si>
  <si>
    <t>新サイトは、HTML、CSS、JavaScript、PHP など、要件全てを満たす技術を用いて制作すること。</t>
  </si>
  <si>
    <t>Header, footer, global nav, breadcrumbs. Standard work, rough number is fine.</t>
  </si>
  <si>
    <t>5.3</t>
  </si>
  <si>
    <t>Top page coding</t>
  </si>
  <si>
    <r>
      <rPr>
        <sz val="10"/>
        <rFont val="Arial"/>
        <charset val="1"/>
      </rPr>
      <t>5(1)</t>
    </r>
    <r>
      <rPr>
        <sz val="10"/>
        <rFont val="Noto Sans CJK SC"/>
        <family val="2"/>
      </rPr>
      <t>キ</t>
    </r>
  </si>
  <si>
    <t>Includes opening calendar widget and slider/banner section.</t>
  </si>
  <si>
    <t>5.4</t>
  </si>
  <si>
    <t>Lower-level page template implementation</t>
  </si>
  <si>
    <r>
      <rPr>
        <sz val="10"/>
        <rFont val="Arial"/>
        <charset val="1"/>
      </rPr>
      <t>8(1)</t>
    </r>
    <r>
      <rPr>
        <sz val="10"/>
        <rFont val="Noto Sans CJK SC"/>
        <family val="2"/>
      </rPr>
      <t>エ</t>
    </r>
  </si>
  <si>
    <t>新サイトにおいて必要なページを新規作成すること。</t>
  </si>
  <si>
    <t>Template patterns to be defined in design phase (likely 5-10). Estimate per-template implementation time.</t>
  </si>
  <si>
    <t>5.5</t>
  </si>
  <si>
    <t>Responsive design implementation</t>
  </si>
  <si>
    <r>
      <rPr>
        <sz val="10"/>
        <rFont val="Arial"/>
        <charset val="1"/>
      </rPr>
      <t>5(1)</t>
    </r>
    <r>
      <rPr>
        <sz val="10"/>
        <rFont val="Noto Sans CJK SC"/>
        <family val="2"/>
      </rPr>
      <t>キ</t>
    </r>
    <r>
      <rPr>
        <sz val="10"/>
        <rFont val="Arial"/>
        <charset val="1"/>
      </rPr>
      <t>(</t>
    </r>
    <r>
      <rPr>
        <sz val="10"/>
        <rFont val="Noto Sans CJK SC"/>
        <family val="2"/>
      </rPr>
      <t>ア</t>
    </r>
    <r>
      <rPr>
        <sz val="10"/>
        <rFont val="Arial"/>
        <charset val="1"/>
      </rPr>
      <t>)</t>
    </r>
  </si>
  <si>
    <t>新サイトは、PC、スマートフォン及びタブレットで閲覧されることを前提に、レスポンシブウェブデザインで設計すること。</t>
  </si>
  <si>
    <t>PC / tablet / smartphone. Standard work, rough number.</t>
  </si>
  <si>
    <t>5.6</t>
  </si>
  <si>
    <t>JavaScript interactive features</t>
  </si>
  <si>
    <t>Typical features: image carousel, modal galleries, opening calendar widget, accordion FAQ, in-page search. Quantity TBD.</t>
  </si>
  <si>
    <t>5.7</t>
  </si>
  <si>
    <t>JIS X 8341-3 accessibility compliance</t>
  </si>
  <si>
    <t>AWAITING CLIENT ANSWER. JIS X 8341-3 ~= WCAG. Estimate per scenario: (a) Level A only, (b) Level AA.</t>
  </si>
  <si>
    <t>5.8</t>
  </si>
  <si>
    <t>Browser translation optimization</t>
  </si>
  <si>
    <t>効果的かつ経済的に外国人向け情報発信を行うため、ブラウザによる多言語(英語及び中国語(繁体字及び簡体字))翻訳機能が最大限有効に働くよう留意すること。</t>
  </si>
  <si>
    <t>Not translation itself. Structure work for Google Translate / browser auto-translate to work well: lang attributes, hreflang, semantic HTML, avoid text-in-image.</t>
  </si>
  <si>
    <t>6.1</t>
  </si>
  <si>
    <t>CMS (WordPress)</t>
  </si>
  <si>
    <t>WordPress install / initial setup</t>
  </si>
  <si>
    <t>6</t>
  </si>
  <si>
    <t>導入する CMS は WordPress とする。</t>
  </si>
  <si>
    <t>Standard WP install + initial security/permalink/theme switch setup. Rough number.</t>
  </si>
  <si>
    <t>6.2</t>
  </si>
  <si>
    <t>Custom theme development</t>
  </si>
  <si>
    <t>導入する CMS は WordPress とする。なお、最新の情報を迅速に提供するため、甲と協議の上、サイト運営の専門的な知識がない人でも情報更新を行うことができるようにすること。</t>
  </si>
  <si>
    <t>Estimate per scenario: (a) from-scratch custom theme, (b) starter theme (Sage/Underscores) customization.</t>
  </si>
  <si>
    <t>6.3</t>
  </si>
  <si>
    <t>Custom post types design and implementation</t>
  </si>
  <si>
    <r>
      <rPr>
        <sz val="10"/>
        <rFont val="Arial"/>
        <charset val="1"/>
      </rPr>
      <t xml:space="preserve">6, </t>
    </r>
    <r>
      <rPr>
        <sz val="10"/>
        <rFont val="Noto Sans CJK SC"/>
        <family val="2"/>
      </rPr>
      <t>別紙</t>
    </r>
  </si>
  <si>
    <t>別紙『新サイトマップ案』のうち、更新機能有として明記するページについては、情報の鮮度が重要であることから、特にフレキシブルな情報更新が行えるよう配慮すること。</t>
  </si>
  <si>
    <t>Sitemap draft shows 4+ update-required content systems: news/blog, exhibitions, events, themed exhibitions. Estimate per post type including admin UI customization.</t>
  </si>
  <si>
    <t>6.4</t>
  </si>
  <si>
    <t>Custom fields design and implementation</t>
  </si>
  <si>
    <t>ACF Pro vs free vs hand-coded. Likely 5-10 fields per post type x 4-5 post types.</t>
  </si>
  <si>
    <t>6.5</t>
  </si>
  <si>
    <t>Plugin selection / installation / configuration</t>
  </si>
  <si>
    <t>6(1)</t>
  </si>
  <si>
    <t>導入するプラグインについては乙の提案に基づき甲と協議の上決定する。</t>
  </si>
  <si>
    <t>Required functions: SEO, security, backup, contact form, sitemap.xml, image optimization, caching. Research + setup + configuration.</t>
  </si>
  <si>
    <t>6.6</t>
  </si>
  <si>
    <t>User role design (3 accounts)</t>
  </si>
  <si>
    <r>
      <rPr>
        <sz val="10"/>
        <rFont val="Arial"/>
        <charset val="1"/>
      </rPr>
      <t>5(1)</t>
    </r>
    <r>
      <rPr>
        <sz val="10"/>
        <rFont val="Noto Sans CJK SC"/>
        <family val="2"/>
      </rPr>
      <t>エ</t>
    </r>
  </si>
  <si>
    <r>
      <rPr>
        <sz val="10"/>
        <rFont val="Arial"/>
        <charset val="1"/>
      </rPr>
      <t xml:space="preserve">ID </t>
    </r>
    <r>
      <rPr>
        <sz val="10"/>
        <rFont val="Noto Sans CJK SC"/>
        <family val="2"/>
      </rPr>
      <t>の発行数は３アカウント程度とする。</t>
    </r>
    <r>
      <rPr>
        <sz val="10"/>
        <rFont val="Arial"/>
        <charset val="1"/>
      </rPr>
      <t xml:space="preserve">ID </t>
    </r>
    <r>
      <rPr>
        <sz val="10"/>
        <rFont val="Noto Sans CJK SC"/>
        <family val="2"/>
      </rPr>
      <t xml:space="preserve">の発行数及び各 </t>
    </r>
    <r>
      <rPr>
        <sz val="10"/>
        <rFont val="Arial"/>
        <charset val="1"/>
      </rPr>
      <t xml:space="preserve">ID </t>
    </r>
    <r>
      <rPr>
        <sz val="10"/>
        <rFont val="Noto Sans CJK SC"/>
        <family val="2"/>
      </rPr>
      <t>の権限の設定については、業務開始後に甲及び乙による協議の上決定する。</t>
    </r>
  </si>
  <si>
    <t>Likely admin / editor / contributor. May need custom capabilities per content type.</t>
  </si>
  <si>
    <t>6.7</t>
  </si>
  <si>
    <t>Admin UI customization (non-tech users)</t>
  </si>
  <si>
    <t>甲と協議の上、サイト運営の専門的な知識がない人でも情報更新を行うことができるようにすること。</t>
  </si>
  <si>
    <t>Hide unnecessary menus, custom dashboard widgets, simplified edit screens per role, custom Gutenberg blocks. Important for client satisfaction.</t>
  </si>
  <si>
    <t>6.8</t>
  </si>
  <si>
    <t>Flexible update functionality for key pages</t>
  </si>
  <si>
    <t>Beyond basic CRUD: scheduled publishing, draft preview, image library, reorderable content blocks. Applies to 4 update-required content systems.</t>
  </si>
  <si>
    <t>7.1</t>
  </si>
  <si>
    <t>Infrastructure</t>
  </si>
  <si>
    <t>Server selection / contract</t>
  </si>
  <si>
    <t>AWAITING CLIENT ANSWER. (a) prefecture shared infrastructure (application required), (b) external rental (Sakura/Xserver/AWS). Includes vendor research, comparison, contracting.</t>
  </si>
  <si>
    <t>7.2</t>
  </si>
  <si>
    <t>Server initial setup / OS/MW install</t>
  </si>
  <si>
    <r>
      <rPr>
        <sz val="10"/>
        <rFont val="Arial"/>
        <charset val="1"/>
      </rPr>
      <t>5(3)</t>
    </r>
    <r>
      <rPr>
        <sz val="10"/>
        <rFont val="Noto Sans CJK SC"/>
        <family val="2"/>
      </rPr>
      <t>ア</t>
    </r>
  </si>
  <si>
    <t>確保したサーバについて、部外者からサイトを改ざんされないよう情報セキュリティ上必要な措置を講じること。</t>
  </si>
  <si>
    <t>Standard setup after server is procured. Rough number.</t>
  </si>
  <si>
    <t>7.3</t>
  </si>
  <si>
    <t>Subdomain configuration</t>
  </si>
  <si>
    <t>別記1-1(2), 別記2-1(1)</t>
  </si>
  <si>
    <t>ドメインについて、原則として県のサブドメインを活用すること。</t>
  </si>
  <si>
    <t>Setup pref.tochigi.lg.jp subdomain. Current site URL: muse.pref.tochigi.lg.jp - migration of existing URL or new URL TBD. DNS coordination with prefecture IT dept.</t>
  </si>
  <si>
    <t>7.4</t>
  </si>
  <si>
    <t>SSL certificate acquisition / installation</t>
  </si>
  <si>
    <r>
      <rPr>
        <sz val="10"/>
        <rFont val="Arial"/>
        <charset val="1"/>
      </rPr>
      <t>5(3)</t>
    </r>
    <r>
      <rPr>
        <sz val="10"/>
        <rFont val="Noto Sans CJK SC"/>
        <family val="2"/>
      </rPr>
      <t>カ</t>
    </r>
    <r>
      <rPr>
        <sz val="10"/>
        <rFont val="Arial"/>
        <charset val="1"/>
      </rPr>
      <t xml:space="preserve">, </t>
    </r>
    <r>
      <rPr>
        <sz val="10"/>
        <rFont val="Noto Sans CJK SC"/>
        <family val="2"/>
      </rPr>
      <t>別記</t>
    </r>
    <r>
      <rPr>
        <sz val="10"/>
        <rFont val="Arial"/>
        <charset val="1"/>
      </rPr>
      <t>1-1(3)</t>
    </r>
  </si>
  <si>
    <t>ウェブサイト公開時は常時 SSL 化することとし、http 通信は https 通信にリダイレクトする等の対応を検討すること。</t>
  </si>
  <si>
    <t>Let's Encrypt or paid SSL. Standard work. Rough number.</t>
  </si>
  <si>
    <t>7.5</t>
  </si>
  <si>
    <t>WAF/IDS/IPS security implementation</t>
  </si>
  <si>
    <t>別記1-2(7)</t>
  </si>
  <si>
    <t>公開ウェブサーバが利用する機能(利用者がサイト上で行う情報入力やファイルのアップロードの機能等)や公開する情報の性質等を踏まえ、適切なセキュリティ対策を検討の上、県に提示し承認を得た上で、確実に実装すること。</t>
  </si>
  <si>
    <t>DEPENDS ON 7.1 ANSWER. Prefecture infra = WAF/CDN provided. External = need to source (Cloudflare/AWS WAF/Sucuri).</t>
  </si>
  <si>
    <t>7.6</t>
  </si>
  <si>
    <t>Antivirus implementation</t>
  </si>
  <si>
    <t>別記1-2(8)</t>
  </si>
  <si>
    <t>アンチウィルスソフトの導入及びその他ウイルス・不正プログラム等に対するセキュリティ対策を確実に実装すること。</t>
  </si>
  <si>
    <t>Standard antivirus implementation. Rough number.</t>
  </si>
  <si>
    <t>7.7</t>
  </si>
  <si>
    <t>Uptime monitoring setup</t>
  </si>
  <si>
    <t>別記1-2(6)</t>
  </si>
  <si>
    <t>公開ウェブサーバについて、常に死活監視を行う仕組みや環境をもつこと。</t>
  </si>
  <si>
    <t>Tool selection (UptimeRobot/Pingdom/self-hosted), alert routing, escalation. Setup + monthly subscription consideration.</t>
  </si>
  <si>
    <t>7.8</t>
  </si>
  <si>
    <t>Backup setup (monthly auto)</t>
  </si>
  <si>
    <r>
      <rPr>
        <sz val="10"/>
        <rFont val="Arial"/>
        <charset val="1"/>
      </rPr>
      <t>5(3)</t>
    </r>
    <r>
      <rPr>
        <sz val="10"/>
        <rFont val="Noto Sans CJK SC"/>
        <family val="2"/>
      </rPr>
      <t>ク</t>
    </r>
  </si>
  <si>
    <t>バックアップは、サーバごとに月１回程度自動的に実行することとし、障害発生時には最新のバックアップのデータに復元できること。</t>
  </si>
  <si>
    <t>Standard monthly backup config. Rough number.</t>
  </si>
  <si>
    <t>7.9</t>
  </si>
  <si>
    <t>Access log retention setup</t>
  </si>
  <si>
    <r>
      <rPr>
        <sz val="10"/>
        <rFont val="Arial"/>
        <charset val="1"/>
      </rPr>
      <t>5(3)</t>
    </r>
    <r>
      <rPr>
        <sz val="10"/>
        <rFont val="Noto Sans CJK SC"/>
        <family val="2"/>
      </rPr>
      <t>エ</t>
    </r>
    <r>
      <rPr>
        <sz val="10"/>
        <rFont val="Arial"/>
        <charset val="1"/>
      </rPr>
      <t xml:space="preserve">, </t>
    </r>
    <r>
      <rPr>
        <sz val="10"/>
        <rFont val="Noto Sans CJK SC"/>
        <family val="2"/>
      </rPr>
      <t>別記</t>
    </r>
    <r>
      <rPr>
        <sz val="10"/>
        <rFont val="Arial"/>
        <charset val="1"/>
      </rPr>
      <t>1-3(8)</t>
    </r>
  </si>
  <si>
    <t>アクセスログの記録及び解析ができること。取得するログの項目及び保存期間については、仕様書に従い、又は県に提案して承認を得ること。</t>
  </si>
  <si>
    <t>Default web server logs vs structured logging. Retention period TBD (90 days / 1 year / 3 years).</t>
  </si>
  <si>
    <t>7.10</t>
  </si>
  <si>
    <t>Performance tuning (1s/2s targets)</t>
  </si>
  <si>
    <r>
      <rPr>
        <sz val="10"/>
        <rFont val="Arial"/>
        <charset val="1"/>
      </rPr>
      <t>5(3)</t>
    </r>
    <r>
      <rPr>
        <sz val="10"/>
        <rFont val="Noto Sans CJK SC"/>
        <family val="2"/>
      </rPr>
      <t>オ</t>
    </r>
  </si>
  <si>
    <t>ウェブサーバは、利用者が静的ページについて１秒以内、動的ページについて２秒以内を目安に、ページを開くことができるようデータの送信が行えること。</t>
  </si>
  <si>
    <t>Static &lt;1s, Dynamic &lt;2s. Caching layer, CDN, image optimization, lazy loading, DB query tuning.</t>
  </si>
  <si>
    <t>8.2</t>
  </si>
  <si>
    <t>SEO / Analytics</t>
  </si>
  <si>
    <t>Per-page SEO implementation (title/h1/breadcrumbs)</t>
  </si>
  <si>
    <t>7(2)</t>
  </si>
  <si>
    <t>県民の興味・関心から類推される検索キーワードや検索回数を参考に抽出し、各ページのタイトル、H1、パンくず等に、それぞれのページに適切なSEO施行を実施するものとする。</t>
  </si>
  <si>
    <t>Page count dependent but standard work per page. Rough number per 10 pages.</t>
  </si>
  <si>
    <t>8.3</t>
  </si>
  <si>
    <t>Sitemap.xml generation / submission</t>
  </si>
  <si>
    <t>別記2-1(5)</t>
  </si>
  <si>
    <r>
      <rPr>
        <sz val="10"/>
        <rFont val="Arial"/>
        <charset val="1"/>
      </rPr>
      <t>Google Search Console</t>
    </r>
    <r>
      <rPr>
        <sz val="10"/>
        <rFont val="Noto Sans CJK SC"/>
        <family val="2"/>
      </rPr>
      <t>に対してウェブサイトの情報を適切に登録する</t>
    </r>
    <r>
      <rPr>
        <sz val="10"/>
        <rFont val="Arial"/>
        <charset val="1"/>
      </rPr>
      <t>Sitemap.xml</t>
    </r>
    <r>
      <rPr>
        <sz val="10"/>
        <rFont val="Noto Sans CJK SC"/>
        <family val="2"/>
      </rPr>
      <t>の制作も上記に含むものとする。</t>
    </r>
  </si>
  <si>
    <t>Standard work. Rough number.</t>
  </si>
  <si>
    <t>8.4</t>
  </si>
  <si>
    <t>Structured data (schema.org) implementation</t>
  </si>
  <si>
    <t>7</t>
  </si>
  <si>
    <t>新サイトにおいては、栃木県立博物館に関する情報発信の効果を最大化しうる SEO を施行するものとする。</t>
  </si>
  <si>
    <t>Schema types likely needed: Organization, Event, Article, BreadcrumbList, FAQPage, ImageObject. Estimate per schema type.</t>
  </si>
  <si>
    <t>8.5</t>
  </si>
  <si>
    <t>Google Analytics 4 setup</t>
  </si>
  <si>
    <r>
      <rPr>
        <sz val="10"/>
        <rFont val="Arial"/>
        <charset val="1"/>
      </rPr>
      <t>5(1)</t>
    </r>
    <r>
      <rPr>
        <sz val="10"/>
        <rFont val="Noto Sans CJK SC"/>
        <family val="2"/>
      </rPr>
      <t>キ</t>
    </r>
    <r>
      <rPr>
        <sz val="10"/>
        <rFont val="Arial"/>
        <charset val="1"/>
      </rPr>
      <t>(</t>
    </r>
    <r>
      <rPr>
        <sz val="10"/>
        <rFont val="Noto Sans CJK SC"/>
        <family val="2"/>
      </rPr>
      <t>エ</t>
    </r>
    <r>
      <rPr>
        <sz val="10"/>
        <rFont val="Arial"/>
        <charset val="1"/>
      </rPr>
      <t xml:space="preserve">), </t>
    </r>
    <r>
      <rPr>
        <sz val="10"/>
        <rFont val="Noto Sans CJK SC"/>
        <family val="2"/>
      </rPr>
      <t>別記</t>
    </r>
    <r>
      <rPr>
        <sz val="10"/>
        <rFont val="Arial"/>
        <charset val="1"/>
      </rPr>
      <t>2-2</t>
    </r>
  </si>
  <si>
    <r>
      <rPr>
        <sz val="10"/>
        <rFont val="Arial"/>
        <charset val="1"/>
      </rPr>
      <t>Google Analytics</t>
    </r>
    <r>
      <rPr>
        <sz val="10"/>
        <rFont val="Noto Sans CJK SC"/>
        <family val="2"/>
      </rPr>
      <t>や</t>
    </r>
    <r>
      <rPr>
        <sz val="10"/>
        <rFont val="Arial"/>
        <charset val="1"/>
      </rPr>
      <t>Google Tag Manager</t>
    </r>
    <r>
      <rPr>
        <sz val="10"/>
        <rFont val="Noto Sans CJK SC"/>
        <family val="2"/>
      </rPr>
      <t>を用い、設定すること。</t>
    </r>
  </si>
  <si>
    <t>Standard GA4 setup. Rough number.</t>
  </si>
  <si>
    <t>8.6</t>
  </si>
  <si>
    <t>Google Tag Manager configuration</t>
  </si>
  <si>
    <r>
      <rPr>
        <sz val="10"/>
        <rFont val="Arial"/>
        <charset val="1"/>
      </rPr>
      <t>5(1)</t>
    </r>
    <r>
      <rPr>
        <sz val="10"/>
        <rFont val="Noto Sans CJK SC"/>
        <family val="2"/>
      </rPr>
      <t>キ</t>
    </r>
    <r>
      <rPr>
        <sz val="10"/>
        <rFont val="Arial"/>
        <charset val="1"/>
      </rPr>
      <t>(</t>
    </r>
    <r>
      <rPr>
        <sz val="10"/>
        <rFont val="Noto Sans CJK SC"/>
        <family val="2"/>
      </rPr>
      <t>エ</t>
    </r>
    <r>
      <rPr>
        <sz val="10"/>
        <rFont val="Arial"/>
        <charset val="1"/>
      </rPr>
      <t xml:space="preserve">), </t>
    </r>
    <r>
      <rPr>
        <sz val="10"/>
        <rFont val="Noto Sans CJK SC"/>
        <family val="2"/>
      </rPr>
      <t>別記</t>
    </r>
    <r>
      <rPr>
        <sz val="10"/>
        <rFont val="Arial"/>
        <charset val="1"/>
      </rPr>
      <t>2-3</t>
    </r>
  </si>
  <si>
    <t>本事業に関連するウェブサイトに、Google Analytics等の各種計測タグ、リマーケティングなどの施策に関わるタグを導入する際は、栃木県が別途指定する『栃木県Googleタグマネージャー』を活用し、その管理を行うこと。</t>
  </si>
  <si>
    <t>Tochigi Pref provides their own GTM container. Standard tag config. Rough number.</t>
  </si>
  <si>
    <t>8.7</t>
  </si>
  <si>
    <t>Google Search Console setup</t>
  </si>
  <si>
    <r>
      <rPr>
        <sz val="10"/>
        <rFont val="Arial"/>
        <charset val="1"/>
      </rPr>
      <t xml:space="preserve">13(5), </t>
    </r>
    <r>
      <rPr>
        <sz val="10"/>
        <rFont val="Noto Sans CJK SC"/>
        <family val="2"/>
      </rPr>
      <t>別記</t>
    </r>
    <r>
      <rPr>
        <sz val="10"/>
        <rFont val="Arial"/>
        <charset val="1"/>
      </rPr>
      <t>2-1(2)</t>
    </r>
  </si>
  <si>
    <r>
      <rPr>
        <sz val="10"/>
        <rFont val="Arial"/>
        <charset val="1"/>
      </rPr>
      <t xml:space="preserve">Google Search Console </t>
    </r>
    <r>
      <rPr>
        <sz val="10"/>
        <rFont val="Noto Sans CJK SC"/>
        <family val="2"/>
      </rPr>
      <t>を導入すること。</t>
    </r>
  </si>
  <si>
    <t>8.8</t>
  </si>
  <si>
    <t>Video view tracking setup</t>
  </si>
  <si>
    <r>
      <rPr>
        <sz val="10"/>
        <rFont val="Arial"/>
        <charset val="1"/>
      </rPr>
      <t>5(1)</t>
    </r>
    <r>
      <rPr>
        <sz val="10"/>
        <rFont val="Noto Sans CJK SC"/>
        <family val="2"/>
      </rPr>
      <t>キ</t>
    </r>
    <r>
      <rPr>
        <sz val="10"/>
        <rFont val="Arial"/>
        <charset val="1"/>
      </rPr>
      <t>(</t>
    </r>
    <r>
      <rPr>
        <sz val="10"/>
        <rFont val="Noto Sans CJK SC"/>
        <family val="2"/>
      </rPr>
      <t>エ</t>
    </r>
    <r>
      <rPr>
        <sz val="10"/>
        <rFont val="Arial"/>
        <charset val="1"/>
      </rPr>
      <t>)</t>
    </r>
  </si>
  <si>
    <t>少なくとも、新サイトの閲覧回数、新サイト掲載動画視聴回数を分析できるよう、Google AnalyticsやGoogle Tag Managerを用い、設定すること。</t>
  </si>
  <si>
    <t>Self-hosted vs YouTube embeds vs other. GTM event tracking: play/pause/completion/milestones (25/50/75/100%).</t>
  </si>
  <si>
    <t>10.1</t>
  </si>
  <si>
    <t>Testing / QA</t>
  </si>
  <si>
    <t>Multi-browser testing</t>
  </si>
  <si>
    <r>
      <rPr>
        <sz val="10"/>
        <rFont val="Arial"/>
        <charset val="1"/>
      </rPr>
      <t>5(1)</t>
    </r>
    <r>
      <rPr>
        <sz val="10"/>
        <rFont val="Noto Sans CJK SC"/>
        <family val="2"/>
      </rPr>
      <t>カ</t>
    </r>
  </si>
  <si>
    <t>利用者の閲覧ブラウザは Microsoft Edge 及び Google Chrome、Firefox、Safari 等の最新版に対応すること。</t>
  </si>
  <si>
    <t>Edge/Chrome/Firefox/Safari latest. Rough number.</t>
  </si>
  <si>
    <t>10.2</t>
  </si>
  <si>
    <t>Multi-OS / device testing</t>
  </si>
  <si>
    <r>
      <rPr>
        <sz val="10"/>
        <rFont val="Arial"/>
        <charset val="1"/>
      </rPr>
      <t>OS(</t>
    </r>
    <r>
      <rPr>
        <sz val="10"/>
        <rFont val="Noto Sans CJK SC"/>
        <family val="2"/>
      </rPr>
      <t>バージョン</t>
    </r>
    <r>
      <rPr>
        <sz val="10"/>
        <rFont val="Arial"/>
        <charset val="1"/>
      </rPr>
      <t>)</t>
    </r>
    <r>
      <rPr>
        <sz val="10"/>
        <rFont val="Noto Sans CJK SC"/>
        <family val="2"/>
      </rPr>
      <t xml:space="preserve">は </t>
    </r>
    <r>
      <rPr>
        <sz val="10"/>
        <rFont val="Arial"/>
        <charset val="1"/>
      </rPr>
      <t xml:space="preserve">Windows(11 </t>
    </r>
    <r>
      <rPr>
        <sz val="10"/>
        <rFont val="Noto Sans CJK SC"/>
        <family val="2"/>
      </rPr>
      <t>以上</t>
    </r>
    <r>
      <rPr>
        <sz val="10"/>
        <rFont val="Arial"/>
        <charset val="1"/>
      </rPr>
      <t>)</t>
    </r>
    <r>
      <rPr>
        <sz val="10"/>
        <rFont val="Noto Sans CJK SC"/>
        <family val="2"/>
      </rPr>
      <t>、</t>
    </r>
    <r>
      <rPr>
        <sz val="10"/>
        <rFont val="Arial"/>
        <charset val="1"/>
      </rPr>
      <t>Mac OSX(</t>
    </r>
    <r>
      <rPr>
        <sz val="10"/>
        <rFont val="Noto Sans CJK SC"/>
        <family val="2"/>
      </rPr>
      <t>最新バージョン</t>
    </r>
    <r>
      <rPr>
        <sz val="10"/>
        <rFont val="Arial"/>
        <charset val="1"/>
      </rPr>
      <t>)</t>
    </r>
    <r>
      <rPr>
        <sz val="10"/>
        <rFont val="Noto Sans CJK SC"/>
        <family val="2"/>
      </rPr>
      <t>、</t>
    </r>
    <r>
      <rPr>
        <sz val="10"/>
        <rFont val="Arial"/>
        <charset val="1"/>
      </rPr>
      <t xml:space="preserve">Android(12 </t>
    </r>
    <r>
      <rPr>
        <sz val="10"/>
        <rFont val="Noto Sans CJK SC"/>
        <family val="2"/>
      </rPr>
      <t>以上</t>
    </r>
    <r>
      <rPr>
        <sz val="10"/>
        <rFont val="Arial"/>
        <charset val="1"/>
      </rPr>
      <t>)</t>
    </r>
    <r>
      <rPr>
        <sz val="10"/>
        <rFont val="Noto Sans CJK SC"/>
        <family val="2"/>
      </rPr>
      <t>、</t>
    </r>
    <r>
      <rPr>
        <sz val="10"/>
        <rFont val="Arial"/>
        <charset val="1"/>
      </rPr>
      <t xml:space="preserve">iOS(16 </t>
    </r>
    <r>
      <rPr>
        <sz val="10"/>
        <rFont val="Noto Sans CJK SC"/>
        <family val="2"/>
      </rPr>
      <t>以上</t>
    </r>
    <r>
      <rPr>
        <sz val="10"/>
        <rFont val="Arial"/>
        <charset val="1"/>
      </rPr>
      <t>)</t>
    </r>
    <r>
      <rPr>
        <sz val="10"/>
        <rFont val="Noto Sans CJK SC"/>
        <family val="2"/>
      </rPr>
      <t>に対応すること。</t>
    </r>
  </si>
  <si>
    <t>Win11/Mac/Android12+/iOS16+. Rough number.</t>
  </si>
  <si>
    <t>10.3</t>
  </si>
  <si>
    <t>Client PC environment verification</t>
  </si>
  <si>
    <r>
      <rPr>
        <sz val="10"/>
        <rFont val="Arial"/>
        <charset val="1"/>
      </rPr>
      <t>5(1)</t>
    </r>
    <r>
      <rPr>
        <sz val="10"/>
        <rFont val="Noto Sans CJK SC"/>
        <family val="2"/>
      </rPr>
      <t>ウ</t>
    </r>
  </si>
  <si>
    <t>甲所有の PC を使って職員が作成・更新・管理業務が行えること。</t>
  </si>
  <si>
    <t>Win11 Pro / Edge / i5-1135G7 / 8GB RAM. Rough number.</t>
  </si>
  <si>
    <t>10.4</t>
  </si>
  <si>
    <t>Pre-launch vulnerability audit</t>
  </si>
  <si>
    <r>
      <rPr>
        <sz val="10"/>
        <rFont val="Arial"/>
        <charset val="1"/>
      </rPr>
      <t>5(1)</t>
    </r>
    <r>
      <rPr>
        <sz val="10"/>
        <rFont val="Noto Sans CJK SC"/>
        <family val="2"/>
      </rPr>
      <t>キ</t>
    </r>
    <r>
      <rPr>
        <sz val="10"/>
        <rFont val="Arial"/>
        <charset val="1"/>
      </rPr>
      <t>(</t>
    </r>
    <r>
      <rPr>
        <sz val="10"/>
        <rFont val="Noto Sans CJK SC"/>
        <family val="2"/>
      </rPr>
      <t>オ</t>
    </r>
    <r>
      <rPr>
        <sz val="10"/>
        <rFont val="Arial"/>
        <charset val="1"/>
      </rPr>
      <t xml:space="preserve">), </t>
    </r>
    <r>
      <rPr>
        <sz val="10"/>
        <rFont val="Noto Sans CJK SC"/>
        <family val="2"/>
      </rPr>
      <t>別記</t>
    </r>
    <r>
      <rPr>
        <sz val="10"/>
        <rFont val="Arial"/>
        <charset val="1"/>
      </rPr>
      <t>1-3(3)</t>
    </r>
  </si>
  <si>
    <t>新サイトの公開前に、脆弱性の監査を受けること。</t>
  </si>
  <si>
    <t>AWAITING CLIENT ANSWER. Estimate per scenario: (a) self-conducted scan (OWASP ZAP), (b) third-party audit + coordination.</t>
  </si>
  <si>
    <t>10.5</t>
  </si>
  <si>
    <t>Platform diagnostics during operation</t>
  </si>
  <si>
    <t>別記1-3(5)</t>
  </si>
  <si>
    <t>ウェブサイトの運用中(公開中)は、定期的にポートスキャン、脆弱性チェックを含むプラットフォーム診断を実施し、脆弱性が検出された場合には、適切な処置を講じるとともに結果を県に報告すること。</t>
  </si>
  <si>
    <t>Frequency TBD (monthly or quarterly?). Per-scan effort + report writing.</t>
  </si>
  <si>
    <t>10.6</t>
  </si>
  <si>
    <t>Accessibility verification</t>
  </si>
  <si>
    <t>AWAITING CLIENT ANSWER. Estimate per scenario: (a) Level A, (b) Level AA. Tools: axe DevTools, Lighthouse, manual screen reader.</t>
  </si>
  <si>
    <t>10.7</t>
  </si>
  <si>
    <t>Page speed measurement / improvement</t>
  </si>
  <si>
    <t>Lighthouse measurement + tuning iterations. Rough number.</t>
  </si>
  <si>
    <t>10.8</t>
  </si>
  <si>
    <t>GA/GTM/SC operational verification</t>
  </si>
  <si>
    <t>別記2-1(6)</t>
  </si>
  <si>
    <t>ウェブサイト(ホームページ)やランディングページなどの納品時には、タグマネジメントの設定及び Google Search Console、効果計測並びに広告配信のタグが正常に動くことを確認した上で納品すること。</t>
  </si>
  <si>
    <t>Final verification at delivery. Rough number.</t>
  </si>
  <si>
    <t>11.4</t>
  </si>
  <si>
    <t>Documentation</t>
  </si>
  <si>
    <t>GA access permission setup</t>
  </si>
  <si>
    <t>12(1) No.10</t>
  </si>
  <si>
    <r>
      <rPr>
        <sz val="10"/>
        <rFont val="Arial"/>
        <charset val="1"/>
      </rPr>
      <t>Google Analytics</t>
    </r>
    <r>
      <rPr>
        <sz val="10"/>
        <rFont val="Noto Sans CJK SC"/>
        <family val="2"/>
      </rPr>
      <t>による閲覧者等のデータを可視化するためのアクセス権限一式</t>
    </r>
  </si>
  <si>
    <t>Add client users to GA, set permission levels. Rough number.</t>
  </si>
  <si>
    <t>12.1</t>
  </si>
  <si>
    <t>Launch / Operation</t>
  </si>
  <si>
    <t>Production deployment</t>
  </si>
  <si>
    <t>4(2)</t>
  </si>
  <si>
    <t>新サイトの公開時期 令和９(2027)年３月中旬頃(予定)</t>
  </si>
  <si>
    <t>Production deployment day. Rough number.</t>
  </si>
  <si>
    <t>12.2</t>
  </si>
  <si>
    <t>DNS cutover, redirects from old site</t>
  </si>
  <si>
    <t>別記1-1(3)</t>
  </si>
  <si>
    <t>If URL changes: 301 redirect mapping for top-traffic pages (need analytics). If URL stays: just DNS cutover. Estimate both.</t>
  </si>
  <si>
    <t>12.3</t>
  </si>
  <si>
    <t>Post-launch verification / initial trouble response</t>
  </si>
  <si>
    <t>10(1)</t>
  </si>
  <si>
    <t>障害等が発生した旨の連絡を受けてから迅速に電話等で障害状況を確認し、速やかに復旧措置を行うこと。</t>
  </si>
  <si>
    <t>Launch day + following week monitoring. Rough number.</t>
  </si>
  <si>
    <t>13.1</t>
  </si>
  <si>
    <t>Maintenance</t>
  </si>
  <si>
    <t>24/365 incident reception</t>
  </si>
  <si>
    <r>
      <rPr>
        <sz val="10"/>
        <rFont val="Arial"/>
        <charset val="1"/>
      </rPr>
      <t>5(4)</t>
    </r>
    <r>
      <rPr>
        <sz val="10"/>
        <rFont val="Noto Sans CJK SC"/>
        <family val="2"/>
      </rPr>
      <t>ア</t>
    </r>
    <r>
      <rPr>
        <sz val="10"/>
        <rFont val="Arial"/>
        <charset val="1"/>
      </rPr>
      <t>, 10(1)</t>
    </r>
  </si>
  <si>
    <t>システム停止等の緊急性を伴う障害については、24時間365日受付及び対応を行うこととし、緊急連絡先を確保すること。</t>
  </si>
  <si>
    <t>Email: 24/365 reception, weekday 9-17 response. Emergency 24/365 for system down. Setup: ticketing system + on-call rotation.</t>
  </si>
  <si>
    <t>13.2</t>
  </si>
  <si>
    <t>Incident recovery work</t>
  </si>
  <si>
    <r>
      <rPr>
        <sz val="10"/>
        <rFont val="Arial"/>
        <charset val="1"/>
      </rPr>
      <t>10(1)</t>
    </r>
    <r>
      <rPr>
        <sz val="10"/>
        <rFont val="Noto Sans CJK SC"/>
        <family val="2"/>
      </rPr>
      <t>イ</t>
    </r>
  </si>
  <si>
    <t>Buffered effort for unplanned incidents during contract period. Estimate optimistic (0 incidents), likely (2-3 minor), pessimistic (1 major).</t>
  </si>
  <si>
    <t>13.5</t>
  </si>
  <si>
    <t>Security patch application</t>
  </si>
  <si>
    <r>
      <rPr>
        <sz val="10"/>
        <rFont val="Arial"/>
        <charset val="1"/>
      </rPr>
      <t xml:space="preserve">5(3), </t>
    </r>
    <r>
      <rPr>
        <sz val="10"/>
        <rFont val="Noto Sans CJK SC"/>
        <family val="2"/>
      </rPr>
      <t>別記</t>
    </r>
    <r>
      <rPr>
        <sz val="10"/>
        <rFont val="Arial"/>
        <charset val="1"/>
      </rPr>
      <t>1-3(2)</t>
    </r>
  </si>
  <si>
    <t>サーバ OS・ミドルウェア等の脆弱性情報を都度収集し、適切な脆弱性対応を行うとともに、速やかに県に報告すること。</t>
  </si>
  <si>
    <t>WP core, plugins, themes. OS/MW patches if not managed by prefecture. Monthly effort estimate.</t>
  </si>
  <si>
    <t>13.6</t>
  </si>
  <si>
    <t>Vulnerability inspection (1x during contract)</t>
  </si>
  <si>
    <r>
      <rPr>
        <sz val="10"/>
        <rFont val="Arial"/>
        <charset val="1"/>
      </rPr>
      <t>5(3)</t>
    </r>
    <r>
      <rPr>
        <sz val="10"/>
        <rFont val="Noto Sans CJK SC"/>
        <family val="2"/>
      </rPr>
      <t>ケ</t>
    </r>
  </si>
  <si>
    <t>独自の脆弱性検査を契約期間中１回以上実施し、サイトの安全性を確認すること。</t>
  </si>
  <si>
    <t>Once during contract period. Standard work. Rough number.</t>
  </si>
  <si>
    <t>14.1</t>
  </si>
  <si>
    <t>Handover</t>
  </si>
  <si>
    <t>Content file delivery preparation</t>
  </si>
  <si>
    <r>
      <rPr>
        <sz val="10"/>
        <rFont val="Arial"/>
        <charset val="1"/>
      </rPr>
      <t>10(2)</t>
    </r>
    <r>
      <rPr>
        <sz val="10"/>
        <rFont val="Noto Sans CJK SC"/>
        <family val="2"/>
      </rPr>
      <t>ア</t>
    </r>
  </si>
  <si>
    <t>受託業者は次のデータを無償で提供すること。HTML ファイル、CSS ファイル、イメージファイル等コンテンツを構成するファイル。</t>
  </si>
  <si>
    <t>Standard data export. Rough number.</t>
  </si>
  <si>
    <t>14.2</t>
  </si>
  <si>
    <t>DB data CSV export</t>
  </si>
  <si>
    <t>その他、DB に格納されているデータ。なお、出力形式は CSV を原則とする。</t>
  </si>
  <si>
    <t>Standard DB export to CSV. Rough number.</t>
  </si>
  <si>
    <t>14.3</t>
  </si>
  <si>
    <t>Directory structure / column documentation</t>
  </si>
  <si>
    <r>
      <rPr>
        <sz val="10"/>
        <rFont val="Arial"/>
        <charset val="1"/>
      </rPr>
      <t>10(2)</t>
    </r>
    <r>
      <rPr>
        <sz val="10"/>
        <rFont val="Noto Sans CJK SC"/>
        <family val="2"/>
      </rPr>
      <t>イ</t>
    </r>
  </si>
  <si>
    <t>受託業者はコンテンツを構成するファイルのディレクトリ構造及び DB から CSV として出力したデータの各カラムについて、説明書を作成すること。</t>
  </si>
  <si>
    <t>Standard handover doc. Rough number.</t>
  </si>
  <si>
    <t>14.4</t>
  </si>
  <si>
    <t>Design consideration for future renewal</t>
  </si>
  <si>
    <t>13(8)</t>
  </si>
  <si>
    <t>本業務で作成する新サイトについて、将来のアップデート又はリニューアルを見据え、データの移行等がスムーズに行われるよう、設計等の段階において配慮すること。</t>
  </si>
  <si>
    <t>Mostly design-phase consideration, not separate work. Rough number for any extra effort.</t>
  </si>
  <si>
    <t>Engineer Hearing Sheet v2 - How to Use</t>
  </si>
  <si>
    <t>Purpose</t>
  </si>
  <si>
    <t>Provide effort estimates (in hours) for engineering tasks. Output feeds into the project quotation.</t>
  </si>
  <si>
    <t>The 'Mode' column</t>
  </si>
  <si>
    <t>Quick (green)</t>
  </si>
  <si>
    <t>Standard work. A rough number is OK. Don't overthink. Aim: &lt;30 seconds per row.</t>
  </si>
  <si>
    <t>Detailed (orange)</t>
  </si>
  <si>
    <t>Setup/design choices matter. Think about scenarios, dependencies, risks. Aim: 5-10 minutes per row.</t>
  </si>
  <si>
    <t>Tip: filter the Mode column to focus on Quick first (~30 rows), then tackle Detailed (~30 rows) when you have a coffee.</t>
  </si>
  <si>
    <t>What to fill in (Min/Likely/Max)</t>
  </si>
  <si>
    <t>Optimistic. Everything goes smoothly. No surprises. No rework.</t>
  </si>
  <si>
    <t>Realistic. Based on similar work you have done before. Most projects land here.</t>
  </si>
  <si>
    <t>Pessimistic. Significant complications, rework, or scope creep. Worst-case realistic.</t>
  </si>
  <si>
    <t>These are PERSON-HOURS. 8 hours = 1 person-day.</t>
  </si>
  <si>
    <t>The 'Engineer Comments' column</t>
  </si>
  <si>
    <t>Use this freely. Any of the following helps the PM:</t>
  </si>
  <si>
    <t xml:space="preserve">  - Assumptions you made (e.g., 'Assumed ACF Pro is available')</t>
  </si>
  <si>
    <t xml:space="preserve">  - Scenario branches (e.g., 'If Level A: 16h, If Level AA: 40h')</t>
  </si>
  <si>
    <t xml:space="preserve">  - Dependencies (e.g., 'Cannot estimate until 7.1 hosting decision')</t>
  </si>
  <si>
    <t xml:space="preserve">  - Risks (e.g., 'Movable Type export format unknown, may need custom parser')</t>
  </si>
  <si>
    <t xml:space="preserve">  - Anything else worth flagging</t>
  </si>
  <si>
    <t>Reading the Spec Quote (Japanese)</t>
  </si>
  <si>
    <t>Column F shows the original Japanese spec text (do not translate it). Column G (Context/Note in English) explains the meaning.</t>
  </si>
  <si>
    <t>If the English context is unclear, ask the PM. Don't guess from translated Japanese.</t>
  </si>
  <si>
    <t>Items marked 'AWAITING CLIENT ANSWER'</t>
  </si>
  <si>
    <t>The client has not yet confirmed certain points (e.g., accessibility level, hosting type).</t>
  </si>
  <si>
    <t>For these, provide estimates PER SCENARIO. Example: 'Level A: 16h / Level AA: 40h'.</t>
  </si>
  <si>
    <t>When the client answers (around 2026-06-09), the PM will pick the right scenario.</t>
  </si>
  <si>
    <t>Color legend</t>
  </si>
  <si>
    <t>Green cells (Quick)</t>
  </si>
  <si>
    <t>Rough number is fine.</t>
  </si>
  <si>
    <t>Orange cells (Detailed)</t>
  </si>
  <si>
    <t>Think carefully.</t>
  </si>
  <si>
    <t>Yellow cells</t>
  </si>
  <si>
    <t>Your input goes here.</t>
  </si>
  <si>
    <t>White cells</t>
  </si>
  <si>
    <t>Pre-filled by PM. Do not edit.</t>
  </si>
  <si>
    <t>Deadline</t>
  </si>
  <si>
    <t>Please complete by: [PM to fill in - target: by 2026-06-02 for parallel processing while client question awaits]</t>
  </si>
  <si>
    <t>Questions: contact [PM contact info]</t>
  </si>
  <si>
    <t>Count</t>
  </si>
  <si>
    <t>Sum Min</t>
  </si>
  <si>
    <t>Sum Likely</t>
  </si>
  <si>
    <t>Sum Max</t>
  </si>
  <si>
    <t>Sum PERT</t>
  </si>
  <si>
    <t>TOTAL</t>
  </si>
  <si>
    <t>By Category</t>
  </si>
  <si>
    <t>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</si>
</sst>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charset val="1"/>
    </font>
    <font>
      <b/>
      <sz val="11"/>
      <color rgb="FFFFFFFF"/>
      <name val="Arial"/>
      <charset val="1"/>
    </font>
    <font>
      <sz val="10"/>
      <name val="Arial"/>
      <charset val="1"/>
    </font>
    <font>
      <b/>
      <sz val="10"/>
      <name val="Arial"/>
      <charset val="1"/>
    </font>
    <font>
      <sz val="10"/>
      <name val="Noto Sans CJK SC"/>
      <family val="2"/>
    </font>
    <font>
      <sz val="10"/>
      <name val="Noto Sans CJK SC"/>
      <family val="2"/>
      <charset val="1"/>
    </font>
    <font>
      <b/>
      <sz val="14"/>
      <name val="Arial"/>
      <charset val="1"/>
    </font>
    <font>
      <b/>
      <sz val="11"/>
      <name val="Arial"/>
      <charset val="1"/>
    </font>
    <font>
      <b/>
      <sz val="12"/>
      <name val="Arial"/>
      <charset val="1"/>
    </font>
  </fonts>
  <fills count="7">
    <fill>
      <patternFill patternType="none"/>
    </fill>
    <fill>
      <patternFill patternType="gray125"/>
    </fill>
    <fill>
      <patternFill patternType="solid">
        <fgColor rgb="FF305496"/>
        <bgColor rgb="FF666699"/>
      </patternFill>
    </fill>
    <fill>
      <patternFill patternType="solid">
        <fgColor rgb="FFFCE4D6"/>
        <bgColor rgb="FFFFF2CC"/>
      </patternFill>
    </fill>
    <fill>
      <patternFill patternType="solid">
        <fgColor rgb="FFFFF2CC"/>
        <bgColor rgb="FFFCE4D6"/>
      </patternFill>
    </fill>
    <fill>
      <patternFill patternType="solid">
        <fgColor rgb="FFE2EFDA"/>
        <bgColor rgb="FFD9E1F2"/>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horizontal="center" vertical="center"/>
    </xf>
    <xf numFmtId="0" fontId="5" fillId="0" borderId="1" xfId="0" applyFont="1" applyBorder="1" applyAlignment="1">
      <alignment vertical="top" wrapText="1"/>
    </xf>
    <xf numFmtId="164" fontId="2" fillId="4" borderId="1" xfId="0" applyNumberFormat="1" applyFont="1" applyFill="1" applyBorder="1" applyAlignment="1">
      <alignment horizontal="right" vertical="top"/>
    </xf>
    <xf numFmtId="0" fontId="2" fillId="4" borderId="1" xfId="0" applyFont="1" applyFill="1" applyBorder="1" applyAlignment="1">
      <alignment vertical="top" wrapText="1"/>
    </xf>
    <xf numFmtId="0" fontId="3" fillId="5" borderId="1" xfId="0" applyFont="1" applyFill="1" applyBorder="1" applyAlignment="1">
      <alignment horizontal="center" vertical="center"/>
    </xf>
    <xf numFmtId="0" fontId="6" fillId="0" borderId="0" xfId="0" applyFont="1" applyAlignment="1">
      <alignment vertical="top" wrapText="1"/>
    </xf>
    <xf numFmtId="0" fontId="2" fillId="0" borderId="0" xfId="0" applyFont="1" applyAlignment="1">
      <alignment vertical="top" wrapText="1"/>
    </xf>
    <xf numFmtId="164" fontId="2" fillId="0" borderId="1" xfId="0" applyNumberFormat="1" applyFont="1" applyBorder="1" applyAlignment="1">
      <alignment horizontal="right" vertical="top"/>
    </xf>
    <xf numFmtId="0" fontId="7" fillId="6" borderId="1" xfId="0" applyFont="1" applyFill="1" applyBorder="1" applyAlignment="1">
      <alignment horizontal="center"/>
    </xf>
    <xf numFmtId="164" fontId="7" fillId="6" borderId="1" xfId="0" applyNumberFormat="1" applyFont="1" applyFill="1" applyBorder="1" applyAlignment="1">
      <alignment horizontal="right" vertical="top"/>
    </xf>
    <xf numFmtId="0" fontId="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
  <sheetViews>
    <sheetView tabSelected="1" zoomScaleNormal="100" workbookViewId="0">
      <pane xSplit="3" ySplit="1" topLeftCell="D2" activePane="bottomRight" state="frozen"/>
      <selection pane="bottomRight" activeCell="E1" sqref="E1:E1048576"/>
      <selection pane="bottomLeft" activeCell="A2" sqref="A2"/>
      <selection pane="topRight" activeCell="D1" sqref="D1"/>
    </sheetView>
  </sheetViews>
  <sheetFormatPr defaultColWidth="8.7109375" defaultRowHeight="15"/>
  <cols>
    <col min="1" max="1" width="8" customWidth="1"/>
    <col min="2" max="2" width="18" customWidth="1"/>
    <col min="3" max="3" width="36" customWidth="1"/>
    <col min="4" max="4" width="21.7109375" customWidth="1"/>
    <col min="5" max="5" width="28" customWidth="1"/>
    <col min="6" max="6" width="42" customWidth="1"/>
    <col min="7" max="7" width="50" customWidth="1"/>
    <col min="8" max="8" width="15.7109375" customWidth="1"/>
    <col min="9" max="9" width="17.140625" customWidth="1"/>
    <col min="10" max="10" width="21.140625" customWidth="1"/>
    <col min="11" max="11" width="45" customWidth="1"/>
  </cols>
  <sheetData>
    <row r="1" spans="1:11" ht="31.5" customHeight="1">
      <c r="A1" s="1" t="s">
        <v>0</v>
      </c>
      <c r="B1" s="1" t="s">
        <v>1</v>
      </c>
      <c r="C1" s="1" t="s">
        <v>2</v>
      </c>
      <c r="D1" s="1" t="s">
        <v>3</v>
      </c>
      <c r="E1" s="1" t="s">
        <v>4</v>
      </c>
      <c r="F1" s="1" t="s">
        <v>5</v>
      </c>
      <c r="G1" s="1" t="s">
        <v>6</v>
      </c>
      <c r="H1" s="1" t="s">
        <v>7</v>
      </c>
      <c r="I1" s="1" t="s">
        <v>8</v>
      </c>
      <c r="J1" s="1" t="s">
        <v>9</v>
      </c>
      <c r="K1" s="1" t="s">
        <v>10</v>
      </c>
    </row>
    <row r="2" spans="1:11" ht="94.5" customHeight="1">
      <c r="A2" s="2" t="s">
        <v>11</v>
      </c>
      <c r="B2" s="2" t="s">
        <v>12</v>
      </c>
      <c r="C2" s="2" t="s">
        <v>13</v>
      </c>
      <c r="D2" s="3" t="s">
        <v>14</v>
      </c>
      <c r="E2" s="2" t="s">
        <v>15</v>
      </c>
      <c r="F2" s="4" t="s">
        <v>16</v>
      </c>
      <c r="G2" s="2" t="s">
        <v>17</v>
      </c>
      <c r="H2" s="5"/>
      <c r="I2" s="5"/>
      <c r="J2" s="5"/>
      <c r="K2" s="6"/>
    </row>
    <row r="3" spans="1:11" ht="94.5" customHeight="1">
      <c r="A3" s="2" t="s">
        <v>18</v>
      </c>
      <c r="B3" s="2" t="s">
        <v>19</v>
      </c>
      <c r="C3" s="2" t="s">
        <v>20</v>
      </c>
      <c r="D3" s="3" t="s">
        <v>14</v>
      </c>
      <c r="E3" s="2" t="s">
        <v>21</v>
      </c>
      <c r="F3" s="4" t="s">
        <v>22</v>
      </c>
      <c r="G3" s="2" t="s">
        <v>23</v>
      </c>
      <c r="H3" s="5"/>
      <c r="I3" s="5"/>
      <c r="J3" s="5"/>
      <c r="K3" s="6"/>
    </row>
    <row r="4" spans="1:11" ht="94.5" customHeight="1">
      <c r="A4" s="2" t="s">
        <v>24</v>
      </c>
      <c r="B4" s="2" t="s">
        <v>19</v>
      </c>
      <c r="C4" s="2" t="s">
        <v>25</v>
      </c>
      <c r="D4" s="3" t="s">
        <v>14</v>
      </c>
      <c r="E4" s="2" t="s">
        <v>26</v>
      </c>
      <c r="F4" s="4" t="s">
        <v>27</v>
      </c>
      <c r="G4" s="2" t="s">
        <v>28</v>
      </c>
      <c r="H4" s="5"/>
      <c r="I4" s="5"/>
      <c r="J4" s="5"/>
      <c r="K4" s="6"/>
    </row>
    <row r="5" spans="1:11" ht="94.5" customHeight="1">
      <c r="A5" s="2" t="s">
        <v>29</v>
      </c>
      <c r="B5" s="2" t="s">
        <v>30</v>
      </c>
      <c r="C5" s="2" t="s">
        <v>31</v>
      </c>
      <c r="D5" s="3" t="s">
        <v>14</v>
      </c>
      <c r="E5" s="2" t="s">
        <v>32</v>
      </c>
      <c r="F5" s="4" t="s">
        <v>33</v>
      </c>
      <c r="G5" s="2" t="s">
        <v>34</v>
      </c>
      <c r="H5" s="5"/>
      <c r="I5" s="5"/>
      <c r="J5" s="5"/>
      <c r="K5" s="6"/>
    </row>
    <row r="6" spans="1:11" ht="94.5" customHeight="1">
      <c r="A6" s="2" t="s">
        <v>35</v>
      </c>
      <c r="B6" s="2" t="s">
        <v>30</v>
      </c>
      <c r="C6" s="2" t="s">
        <v>36</v>
      </c>
      <c r="D6" s="3" t="s">
        <v>14</v>
      </c>
      <c r="E6" s="2" t="s">
        <v>37</v>
      </c>
      <c r="F6" s="4" t="s">
        <v>38</v>
      </c>
      <c r="G6" s="2" t="s">
        <v>39</v>
      </c>
      <c r="H6" s="5"/>
      <c r="I6" s="5"/>
      <c r="J6" s="5"/>
      <c r="K6" s="6"/>
    </row>
    <row r="7" spans="1:11" ht="94.5" customHeight="1">
      <c r="A7" s="2" t="s">
        <v>40</v>
      </c>
      <c r="B7" s="2" t="s">
        <v>30</v>
      </c>
      <c r="C7" s="2" t="s">
        <v>41</v>
      </c>
      <c r="D7" s="3" t="s">
        <v>14</v>
      </c>
      <c r="E7" s="2" t="s">
        <v>37</v>
      </c>
      <c r="F7" s="4" t="s">
        <v>38</v>
      </c>
      <c r="G7" s="2" t="s">
        <v>42</v>
      </c>
      <c r="H7" s="5"/>
      <c r="I7" s="5"/>
      <c r="J7" s="5"/>
      <c r="K7" s="6"/>
    </row>
    <row r="8" spans="1:11" ht="94.5" customHeight="1">
      <c r="A8" s="2" t="s">
        <v>43</v>
      </c>
      <c r="B8" s="2" t="s">
        <v>30</v>
      </c>
      <c r="C8" s="2" t="s">
        <v>44</v>
      </c>
      <c r="D8" s="3" t="s">
        <v>14</v>
      </c>
      <c r="E8" s="2" t="s">
        <v>32</v>
      </c>
      <c r="F8" s="4" t="s">
        <v>33</v>
      </c>
      <c r="G8" s="2" t="s">
        <v>45</v>
      </c>
      <c r="H8" s="5"/>
      <c r="I8" s="5"/>
      <c r="J8" s="5"/>
      <c r="K8" s="6"/>
    </row>
    <row r="9" spans="1:11" ht="94.5" customHeight="1">
      <c r="A9" s="2" t="s">
        <v>46</v>
      </c>
      <c r="B9" s="2" t="s">
        <v>30</v>
      </c>
      <c r="C9" s="2" t="s">
        <v>47</v>
      </c>
      <c r="D9" s="3" t="s">
        <v>14</v>
      </c>
      <c r="E9" s="2" t="s">
        <v>32</v>
      </c>
      <c r="F9" s="4" t="s">
        <v>33</v>
      </c>
      <c r="G9" s="2" t="s">
        <v>48</v>
      </c>
      <c r="H9" s="5"/>
      <c r="I9" s="5"/>
      <c r="J9" s="5"/>
      <c r="K9" s="6"/>
    </row>
    <row r="10" spans="1:11" ht="94.5" customHeight="1">
      <c r="A10" s="2" t="s">
        <v>49</v>
      </c>
      <c r="B10" s="2" t="s">
        <v>30</v>
      </c>
      <c r="C10" s="2" t="s">
        <v>50</v>
      </c>
      <c r="D10" s="3" t="s">
        <v>14</v>
      </c>
      <c r="E10" s="2" t="s">
        <v>51</v>
      </c>
      <c r="F10" s="4" t="s">
        <v>52</v>
      </c>
      <c r="G10" s="2" t="s">
        <v>53</v>
      </c>
      <c r="H10" s="5"/>
      <c r="I10" s="5"/>
      <c r="J10" s="5"/>
      <c r="K10" s="6"/>
    </row>
    <row r="11" spans="1:11" ht="94.5" customHeight="1">
      <c r="A11" s="2" t="s">
        <v>54</v>
      </c>
      <c r="B11" s="2" t="s">
        <v>55</v>
      </c>
      <c r="C11" s="2" t="s">
        <v>56</v>
      </c>
      <c r="D11" s="7" t="s">
        <v>57</v>
      </c>
      <c r="E11" s="2" t="s">
        <v>58</v>
      </c>
      <c r="F11" s="4" t="s">
        <v>59</v>
      </c>
      <c r="G11" s="2" t="s">
        <v>60</v>
      </c>
      <c r="H11" s="5"/>
      <c r="I11" s="5"/>
      <c r="J11" s="5"/>
      <c r="K11" s="6"/>
    </row>
    <row r="12" spans="1:11" ht="94.5" customHeight="1">
      <c r="A12" s="2" t="s">
        <v>61</v>
      </c>
      <c r="B12" s="2" t="s">
        <v>55</v>
      </c>
      <c r="C12" s="2" t="s">
        <v>62</v>
      </c>
      <c r="D12" s="7" t="s">
        <v>57</v>
      </c>
      <c r="E12" s="2" t="s">
        <v>63</v>
      </c>
      <c r="F12" s="4" t="s">
        <v>64</v>
      </c>
      <c r="G12" s="2" t="s">
        <v>65</v>
      </c>
      <c r="H12" s="5"/>
      <c r="I12" s="5"/>
      <c r="J12" s="5"/>
      <c r="K12" s="6"/>
    </row>
    <row r="13" spans="1:11" ht="94.5" customHeight="1">
      <c r="A13" s="2" t="s">
        <v>66</v>
      </c>
      <c r="B13" s="2" t="s">
        <v>55</v>
      </c>
      <c r="C13" s="2" t="s">
        <v>67</v>
      </c>
      <c r="D13" s="7" t="s">
        <v>57</v>
      </c>
      <c r="E13" s="2" t="s">
        <v>68</v>
      </c>
      <c r="F13" s="4" t="s">
        <v>64</v>
      </c>
      <c r="G13" s="2" t="s">
        <v>69</v>
      </c>
      <c r="H13" s="5"/>
      <c r="I13" s="5"/>
      <c r="J13" s="5"/>
      <c r="K13" s="6"/>
    </row>
    <row r="14" spans="1:11" ht="94.5" customHeight="1">
      <c r="A14" s="2" t="s">
        <v>70</v>
      </c>
      <c r="B14" s="2" t="s">
        <v>55</v>
      </c>
      <c r="C14" s="2" t="s">
        <v>71</v>
      </c>
      <c r="D14" s="3" t="s">
        <v>14</v>
      </c>
      <c r="E14" s="2" t="s">
        <v>72</v>
      </c>
      <c r="F14" s="4" t="s">
        <v>73</v>
      </c>
      <c r="G14" s="2" t="s">
        <v>74</v>
      </c>
      <c r="H14" s="5"/>
      <c r="I14" s="5"/>
      <c r="J14" s="5"/>
      <c r="K14" s="6"/>
    </row>
    <row r="15" spans="1:11" ht="94.5" customHeight="1">
      <c r="A15" s="2" t="s">
        <v>75</v>
      </c>
      <c r="B15" s="2" t="s">
        <v>55</v>
      </c>
      <c r="C15" s="2" t="s">
        <v>76</v>
      </c>
      <c r="D15" s="7" t="s">
        <v>57</v>
      </c>
      <c r="E15" s="2" t="s">
        <v>77</v>
      </c>
      <c r="F15" s="4" t="s">
        <v>78</v>
      </c>
      <c r="G15" s="2" t="s">
        <v>79</v>
      </c>
      <c r="H15" s="5"/>
      <c r="I15" s="5"/>
      <c r="J15" s="5"/>
      <c r="K15" s="6"/>
    </row>
    <row r="16" spans="1:11" ht="94.5" customHeight="1">
      <c r="A16" s="2" t="s">
        <v>80</v>
      </c>
      <c r="B16" s="2" t="s">
        <v>55</v>
      </c>
      <c r="C16" s="2" t="s">
        <v>81</v>
      </c>
      <c r="D16" s="3" t="s">
        <v>14</v>
      </c>
      <c r="E16" s="2" t="s">
        <v>63</v>
      </c>
      <c r="F16" s="4" t="s">
        <v>64</v>
      </c>
      <c r="G16" s="2" t="s">
        <v>82</v>
      </c>
      <c r="H16" s="5"/>
      <c r="I16" s="5"/>
      <c r="J16" s="5"/>
      <c r="K16" s="6"/>
    </row>
    <row r="17" spans="1:11" ht="94.5" customHeight="1">
      <c r="A17" s="2" t="s">
        <v>83</v>
      </c>
      <c r="B17" s="2" t="s">
        <v>55</v>
      </c>
      <c r="C17" s="2" t="s">
        <v>84</v>
      </c>
      <c r="D17" s="3" t="s">
        <v>14</v>
      </c>
      <c r="E17" s="2" t="s">
        <v>51</v>
      </c>
      <c r="F17" s="4" t="s">
        <v>52</v>
      </c>
      <c r="G17" s="2" t="s">
        <v>85</v>
      </c>
      <c r="H17" s="5"/>
      <c r="I17" s="5"/>
      <c r="J17" s="5"/>
      <c r="K17" s="6"/>
    </row>
    <row r="18" spans="1:11" ht="94.5" customHeight="1">
      <c r="A18" s="2" t="s">
        <v>86</v>
      </c>
      <c r="B18" s="2" t="s">
        <v>55</v>
      </c>
      <c r="C18" s="2" t="s">
        <v>87</v>
      </c>
      <c r="D18" s="3" t="s">
        <v>14</v>
      </c>
      <c r="E18" s="2" t="s">
        <v>32</v>
      </c>
      <c r="F18" s="4" t="s">
        <v>88</v>
      </c>
      <c r="G18" s="2" t="s">
        <v>89</v>
      </c>
      <c r="H18" s="5"/>
      <c r="I18" s="5"/>
      <c r="J18" s="5"/>
      <c r="K18" s="6"/>
    </row>
    <row r="19" spans="1:11" ht="94.5" customHeight="1">
      <c r="A19" s="2" t="s">
        <v>90</v>
      </c>
      <c r="B19" s="2" t="s">
        <v>91</v>
      </c>
      <c r="C19" s="2" t="s">
        <v>92</v>
      </c>
      <c r="D19" s="7" t="s">
        <v>57</v>
      </c>
      <c r="E19" s="2" t="s">
        <v>93</v>
      </c>
      <c r="F19" s="4" t="s">
        <v>94</v>
      </c>
      <c r="G19" s="2" t="s">
        <v>95</v>
      </c>
      <c r="H19" s="5"/>
      <c r="I19" s="5"/>
      <c r="J19" s="5"/>
      <c r="K19" s="6"/>
    </row>
    <row r="20" spans="1:11" ht="94.5" customHeight="1">
      <c r="A20" s="2" t="s">
        <v>96</v>
      </c>
      <c r="B20" s="2" t="s">
        <v>91</v>
      </c>
      <c r="C20" s="2" t="s">
        <v>97</v>
      </c>
      <c r="D20" s="3" t="s">
        <v>14</v>
      </c>
      <c r="E20" s="2" t="s">
        <v>93</v>
      </c>
      <c r="F20" s="4" t="s">
        <v>98</v>
      </c>
      <c r="G20" s="2" t="s">
        <v>99</v>
      </c>
      <c r="H20" s="5"/>
      <c r="I20" s="5"/>
      <c r="J20" s="5"/>
      <c r="K20" s="6"/>
    </row>
    <row r="21" spans="1:11" ht="94.5" customHeight="1">
      <c r="A21" s="2" t="s">
        <v>100</v>
      </c>
      <c r="B21" s="2" t="s">
        <v>91</v>
      </c>
      <c r="C21" s="2" t="s">
        <v>101</v>
      </c>
      <c r="D21" s="3" t="s">
        <v>14</v>
      </c>
      <c r="E21" s="2" t="s">
        <v>102</v>
      </c>
      <c r="F21" s="4" t="s">
        <v>103</v>
      </c>
      <c r="G21" s="2" t="s">
        <v>104</v>
      </c>
      <c r="H21" s="5"/>
      <c r="I21" s="5"/>
      <c r="J21" s="5"/>
      <c r="K21" s="6"/>
    </row>
    <row r="22" spans="1:11" ht="94.5" customHeight="1">
      <c r="A22" s="2" t="s">
        <v>105</v>
      </c>
      <c r="B22" s="2" t="s">
        <v>91</v>
      </c>
      <c r="C22" s="2" t="s">
        <v>106</v>
      </c>
      <c r="D22" s="3" t="s">
        <v>14</v>
      </c>
      <c r="E22" s="2" t="s">
        <v>93</v>
      </c>
      <c r="F22" s="4" t="s">
        <v>94</v>
      </c>
      <c r="G22" s="2" t="s">
        <v>107</v>
      </c>
      <c r="H22" s="5"/>
      <c r="I22" s="5"/>
      <c r="J22" s="5"/>
      <c r="K22" s="6"/>
    </row>
    <row r="23" spans="1:11" ht="94.5" customHeight="1">
      <c r="A23" s="2" t="s">
        <v>108</v>
      </c>
      <c r="B23" s="2" t="s">
        <v>91</v>
      </c>
      <c r="C23" s="2" t="s">
        <v>109</v>
      </c>
      <c r="D23" s="3" t="s">
        <v>14</v>
      </c>
      <c r="E23" s="2" t="s">
        <v>110</v>
      </c>
      <c r="F23" s="4" t="s">
        <v>111</v>
      </c>
      <c r="G23" s="2" t="s">
        <v>112</v>
      </c>
      <c r="H23" s="5"/>
      <c r="I23" s="5"/>
      <c r="J23" s="5"/>
      <c r="K23" s="6"/>
    </row>
    <row r="24" spans="1:11" ht="94.5" customHeight="1">
      <c r="A24" s="2" t="s">
        <v>113</v>
      </c>
      <c r="B24" s="2" t="s">
        <v>91</v>
      </c>
      <c r="C24" s="2" t="s">
        <v>114</v>
      </c>
      <c r="D24" s="3" t="s">
        <v>14</v>
      </c>
      <c r="E24" s="2" t="s">
        <v>115</v>
      </c>
      <c r="F24" s="2" t="s">
        <v>116</v>
      </c>
      <c r="G24" s="2" t="s">
        <v>117</v>
      </c>
      <c r="H24" s="5"/>
      <c r="I24" s="5"/>
      <c r="J24" s="5"/>
      <c r="K24" s="6"/>
    </row>
    <row r="25" spans="1:11" ht="94.5" customHeight="1">
      <c r="A25" s="2" t="s">
        <v>118</v>
      </c>
      <c r="B25" s="2" t="s">
        <v>91</v>
      </c>
      <c r="C25" s="2" t="s">
        <v>119</v>
      </c>
      <c r="D25" s="3" t="s">
        <v>14</v>
      </c>
      <c r="E25" s="2" t="s">
        <v>93</v>
      </c>
      <c r="F25" s="4" t="s">
        <v>120</v>
      </c>
      <c r="G25" s="2" t="s">
        <v>121</v>
      </c>
      <c r="H25" s="5"/>
      <c r="I25" s="5"/>
      <c r="J25" s="5"/>
      <c r="K25" s="6"/>
    </row>
    <row r="26" spans="1:11" ht="94.5" customHeight="1">
      <c r="A26" s="2" t="s">
        <v>122</v>
      </c>
      <c r="B26" s="2" t="s">
        <v>91</v>
      </c>
      <c r="C26" s="2" t="s">
        <v>123</v>
      </c>
      <c r="D26" s="3" t="s">
        <v>14</v>
      </c>
      <c r="E26" s="2" t="s">
        <v>93</v>
      </c>
      <c r="F26" s="4" t="s">
        <v>103</v>
      </c>
      <c r="G26" s="2" t="s">
        <v>124</v>
      </c>
      <c r="H26" s="5"/>
      <c r="I26" s="5"/>
      <c r="J26" s="5"/>
      <c r="K26" s="6"/>
    </row>
    <row r="27" spans="1:11" ht="94.5" customHeight="1">
      <c r="A27" s="2" t="s">
        <v>125</v>
      </c>
      <c r="B27" s="2" t="s">
        <v>126</v>
      </c>
      <c r="C27" s="2" t="s">
        <v>127</v>
      </c>
      <c r="D27" s="3" t="s">
        <v>14</v>
      </c>
      <c r="E27" s="2" t="s">
        <v>26</v>
      </c>
      <c r="F27" s="4" t="s">
        <v>27</v>
      </c>
      <c r="G27" s="2" t="s">
        <v>128</v>
      </c>
      <c r="H27" s="5"/>
      <c r="I27" s="5"/>
      <c r="J27" s="5"/>
      <c r="K27" s="6"/>
    </row>
    <row r="28" spans="1:11" ht="94.5" customHeight="1">
      <c r="A28" s="2" t="s">
        <v>129</v>
      </c>
      <c r="B28" s="2" t="s">
        <v>126</v>
      </c>
      <c r="C28" s="2" t="s">
        <v>130</v>
      </c>
      <c r="D28" s="7" t="s">
        <v>57</v>
      </c>
      <c r="E28" s="2" t="s">
        <v>131</v>
      </c>
      <c r="F28" s="4" t="s">
        <v>132</v>
      </c>
      <c r="G28" s="2" t="s">
        <v>133</v>
      </c>
      <c r="H28" s="5"/>
      <c r="I28" s="5"/>
      <c r="J28" s="5"/>
      <c r="K28" s="6"/>
    </row>
    <row r="29" spans="1:11" ht="94.5" customHeight="1">
      <c r="A29" s="2" t="s">
        <v>134</v>
      </c>
      <c r="B29" s="2" t="s">
        <v>126</v>
      </c>
      <c r="C29" s="2" t="s">
        <v>135</v>
      </c>
      <c r="D29" s="3" t="s">
        <v>14</v>
      </c>
      <c r="E29" s="4" t="s">
        <v>136</v>
      </c>
      <c r="F29" s="4" t="s">
        <v>137</v>
      </c>
      <c r="G29" s="2" t="s">
        <v>138</v>
      </c>
      <c r="H29" s="5"/>
      <c r="I29" s="5"/>
      <c r="J29" s="5"/>
      <c r="K29" s="6"/>
    </row>
    <row r="30" spans="1:11" ht="94.5" customHeight="1">
      <c r="A30" s="2" t="s">
        <v>139</v>
      </c>
      <c r="B30" s="2" t="s">
        <v>126</v>
      </c>
      <c r="C30" s="2" t="s">
        <v>140</v>
      </c>
      <c r="D30" s="7" t="s">
        <v>57</v>
      </c>
      <c r="E30" s="2" t="s">
        <v>141</v>
      </c>
      <c r="F30" s="4" t="s">
        <v>142</v>
      </c>
      <c r="G30" s="2" t="s">
        <v>143</v>
      </c>
      <c r="H30" s="5"/>
      <c r="I30" s="5"/>
      <c r="J30" s="5"/>
      <c r="K30" s="6"/>
    </row>
    <row r="31" spans="1:11" ht="94.5" customHeight="1">
      <c r="A31" s="2" t="s">
        <v>144</v>
      </c>
      <c r="B31" s="2" t="s">
        <v>126</v>
      </c>
      <c r="C31" s="2" t="s">
        <v>145</v>
      </c>
      <c r="D31" s="3" t="s">
        <v>14</v>
      </c>
      <c r="E31" s="4" t="s">
        <v>146</v>
      </c>
      <c r="F31" s="4" t="s">
        <v>147</v>
      </c>
      <c r="G31" s="2" t="s">
        <v>148</v>
      </c>
      <c r="H31" s="5"/>
      <c r="I31" s="5"/>
      <c r="J31" s="5"/>
      <c r="K31" s="6"/>
    </row>
    <row r="32" spans="1:11" ht="94.5" customHeight="1">
      <c r="A32" s="2" t="s">
        <v>149</v>
      </c>
      <c r="B32" s="2" t="s">
        <v>126</v>
      </c>
      <c r="C32" s="2" t="s">
        <v>150</v>
      </c>
      <c r="D32" s="7" t="s">
        <v>57</v>
      </c>
      <c r="E32" s="4" t="s">
        <v>151</v>
      </c>
      <c r="F32" s="4" t="s">
        <v>152</v>
      </c>
      <c r="G32" s="2" t="s">
        <v>153</v>
      </c>
      <c r="H32" s="5"/>
      <c r="I32" s="5"/>
      <c r="J32" s="5"/>
      <c r="K32" s="6"/>
    </row>
    <row r="33" spans="1:11" ht="94.5" customHeight="1">
      <c r="A33" s="2" t="s">
        <v>154</v>
      </c>
      <c r="B33" s="2" t="s">
        <v>126</v>
      </c>
      <c r="C33" s="2" t="s">
        <v>155</v>
      </c>
      <c r="D33" s="3" t="s">
        <v>14</v>
      </c>
      <c r="E33" s="4" t="s">
        <v>156</v>
      </c>
      <c r="F33" s="4" t="s">
        <v>157</v>
      </c>
      <c r="G33" s="2" t="s">
        <v>158</v>
      </c>
      <c r="H33" s="5"/>
      <c r="I33" s="5"/>
      <c r="J33" s="5"/>
      <c r="K33" s="6"/>
    </row>
    <row r="34" spans="1:11" ht="94.5" customHeight="1">
      <c r="A34" s="2" t="s">
        <v>159</v>
      </c>
      <c r="B34" s="2" t="s">
        <v>126</v>
      </c>
      <c r="C34" s="2" t="s">
        <v>160</v>
      </c>
      <c r="D34" s="7" t="s">
        <v>57</v>
      </c>
      <c r="E34" s="2" t="s">
        <v>161</v>
      </c>
      <c r="F34" s="4" t="s">
        <v>162</v>
      </c>
      <c r="G34" s="2" t="s">
        <v>163</v>
      </c>
      <c r="H34" s="5"/>
      <c r="I34" s="5"/>
      <c r="J34" s="5"/>
      <c r="K34" s="6"/>
    </row>
    <row r="35" spans="1:11" ht="94.5" customHeight="1">
      <c r="A35" s="2" t="s">
        <v>164</v>
      </c>
      <c r="B35" s="2" t="s">
        <v>126</v>
      </c>
      <c r="C35" s="2" t="s">
        <v>165</v>
      </c>
      <c r="D35" s="3" t="s">
        <v>14</v>
      </c>
      <c r="E35" s="2" t="s">
        <v>166</v>
      </c>
      <c r="F35" s="4" t="s">
        <v>167</v>
      </c>
      <c r="G35" s="2" t="s">
        <v>168</v>
      </c>
      <c r="H35" s="5"/>
      <c r="I35" s="5"/>
      <c r="J35" s="5"/>
      <c r="K35" s="6"/>
    </row>
    <row r="36" spans="1:11" ht="94.5" customHeight="1">
      <c r="A36" s="2" t="s">
        <v>169</v>
      </c>
      <c r="B36" s="2" t="s">
        <v>126</v>
      </c>
      <c r="C36" s="2" t="s">
        <v>170</v>
      </c>
      <c r="D36" s="3" t="s">
        <v>14</v>
      </c>
      <c r="E36" s="2" t="s">
        <v>171</v>
      </c>
      <c r="F36" s="4" t="s">
        <v>172</v>
      </c>
      <c r="G36" s="2" t="s">
        <v>173</v>
      </c>
      <c r="H36" s="5"/>
      <c r="I36" s="5"/>
      <c r="J36" s="5"/>
      <c r="K36" s="6"/>
    </row>
    <row r="37" spans="1:11" ht="94.5" customHeight="1">
      <c r="A37" s="2" t="s">
        <v>174</v>
      </c>
      <c r="B37" s="2" t="s">
        <v>175</v>
      </c>
      <c r="C37" s="2" t="s">
        <v>176</v>
      </c>
      <c r="D37" s="7" t="s">
        <v>57</v>
      </c>
      <c r="E37" s="2" t="s">
        <v>177</v>
      </c>
      <c r="F37" s="4" t="s">
        <v>178</v>
      </c>
      <c r="G37" s="2" t="s">
        <v>179</v>
      </c>
      <c r="H37" s="5"/>
      <c r="I37" s="5"/>
      <c r="J37" s="5"/>
      <c r="K37" s="6"/>
    </row>
    <row r="38" spans="1:11" ht="94.5" customHeight="1">
      <c r="A38" s="2" t="s">
        <v>180</v>
      </c>
      <c r="B38" s="2" t="s">
        <v>175</v>
      </c>
      <c r="C38" s="2" t="s">
        <v>181</v>
      </c>
      <c r="D38" s="7" t="s">
        <v>57</v>
      </c>
      <c r="E38" s="4" t="s">
        <v>182</v>
      </c>
      <c r="F38" s="2" t="s">
        <v>183</v>
      </c>
      <c r="G38" s="2" t="s">
        <v>184</v>
      </c>
      <c r="H38" s="5"/>
      <c r="I38" s="5"/>
      <c r="J38" s="5"/>
      <c r="K38" s="6"/>
    </row>
    <row r="39" spans="1:11" ht="94.5" customHeight="1">
      <c r="A39" s="2" t="s">
        <v>185</v>
      </c>
      <c r="B39" s="2" t="s">
        <v>175</v>
      </c>
      <c r="C39" s="2" t="s">
        <v>186</v>
      </c>
      <c r="D39" s="3" t="s">
        <v>14</v>
      </c>
      <c r="E39" s="2" t="s">
        <v>187</v>
      </c>
      <c r="F39" s="4" t="s">
        <v>188</v>
      </c>
      <c r="G39" s="2" t="s">
        <v>189</v>
      </c>
      <c r="H39" s="5"/>
      <c r="I39" s="5"/>
      <c r="J39" s="5"/>
      <c r="K39" s="6"/>
    </row>
    <row r="40" spans="1:11" ht="94.5" customHeight="1">
      <c r="A40" s="2" t="s">
        <v>190</v>
      </c>
      <c r="B40" s="2" t="s">
        <v>175</v>
      </c>
      <c r="C40" s="2" t="s">
        <v>191</v>
      </c>
      <c r="D40" s="7" t="s">
        <v>57</v>
      </c>
      <c r="E40" s="2" t="s">
        <v>192</v>
      </c>
      <c r="F40" s="2" t="s">
        <v>193</v>
      </c>
      <c r="G40" s="2" t="s">
        <v>194</v>
      </c>
      <c r="H40" s="5"/>
      <c r="I40" s="5"/>
      <c r="J40" s="5"/>
      <c r="K40" s="6"/>
    </row>
    <row r="41" spans="1:11" ht="94.5" customHeight="1">
      <c r="A41" s="2" t="s">
        <v>195</v>
      </c>
      <c r="B41" s="2" t="s">
        <v>175</v>
      </c>
      <c r="C41" s="2" t="s">
        <v>196</v>
      </c>
      <c r="D41" s="7" t="s">
        <v>57</v>
      </c>
      <c r="E41" s="2" t="s">
        <v>197</v>
      </c>
      <c r="F41" s="4" t="s">
        <v>198</v>
      </c>
      <c r="G41" s="2" t="s">
        <v>199</v>
      </c>
      <c r="H41" s="5"/>
      <c r="I41" s="5"/>
      <c r="J41" s="5"/>
      <c r="K41" s="6"/>
    </row>
    <row r="42" spans="1:11" ht="94.5" customHeight="1">
      <c r="A42" s="2" t="s">
        <v>200</v>
      </c>
      <c r="B42" s="2" t="s">
        <v>175</v>
      </c>
      <c r="C42" s="2" t="s">
        <v>201</v>
      </c>
      <c r="D42" s="7" t="s">
        <v>57</v>
      </c>
      <c r="E42" s="2" t="s">
        <v>202</v>
      </c>
      <c r="F42" s="2" t="s">
        <v>203</v>
      </c>
      <c r="G42" s="2" t="s">
        <v>184</v>
      </c>
      <c r="H42" s="5"/>
      <c r="I42" s="5"/>
      <c r="J42" s="5"/>
      <c r="K42" s="6"/>
    </row>
    <row r="43" spans="1:11" ht="94.5" customHeight="1">
      <c r="A43" s="2" t="s">
        <v>204</v>
      </c>
      <c r="B43" s="2" t="s">
        <v>175</v>
      </c>
      <c r="C43" s="2" t="s">
        <v>205</v>
      </c>
      <c r="D43" s="3" t="s">
        <v>14</v>
      </c>
      <c r="E43" s="2" t="s">
        <v>206</v>
      </c>
      <c r="F43" s="4" t="s">
        <v>207</v>
      </c>
      <c r="G43" s="2" t="s">
        <v>208</v>
      </c>
      <c r="H43" s="5"/>
      <c r="I43" s="5"/>
      <c r="J43" s="5"/>
      <c r="K43" s="6"/>
    </row>
    <row r="44" spans="1:11" ht="94.5" customHeight="1">
      <c r="A44" s="2" t="s">
        <v>209</v>
      </c>
      <c r="B44" s="2" t="s">
        <v>210</v>
      </c>
      <c r="C44" s="2" t="s">
        <v>211</v>
      </c>
      <c r="D44" s="7" t="s">
        <v>57</v>
      </c>
      <c r="E44" s="2" t="s">
        <v>212</v>
      </c>
      <c r="F44" s="4" t="s">
        <v>213</v>
      </c>
      <c r="G44" s="2" t="s">
        <v>214</v>
      </c>
      <c r="H44" s="5"/>
      <c r="I44" s="5"/>
      <c r="J44" s="5"/>
      <c r="K44" s="6"/>
    </row>
    <row r="45" spans="1:11" ht="94.5" customHeight="1">
      <c r="A45" s="2" t="s">
        <v>215</v>
      </c>
      <c r="B45" s="2" t="s">
        <v>210</v>
      </c>
      <c r="C45" s="2" t="s">
        <v>216</v>
      </c>
      <c r="D45" s="7" t="s">
        <v>57</v>
      </c>
      <c r="E45" s="2" t="s">
        <v>212</v>
      </c>
      <c r="F45" s="2" t="s">
        <v>217</v>
      </c>
      <c r="G45" s="2" t="s">
        <v>218</v>
      </c>
      <c r="H45" s="5"/>
      <c r="I45" s="5"/>
      <c r="J45" s="5"/>
      <c r="K45" s="6"/>
    </row>
    <row r="46" spans="1:11" ht="94.5" customHeight="1">
      <c r="A46" s="2" t="s">
        <v>219</v>
      </c>
      <c r="B46" s="2" t="s">
        <v>210</v>
      </c>
      <c r="C46" s="2" t="s">
        <v>220</v>
      </c>
      <c r="D46" s="7" t="s">
        <v>57</v>
      </c>
      <c r="E46" s="2" t="s">
        <v>221</v>
      </c>
      <c r="F46" s="4" t="s">
        <v>222</v>
      </c>
      <c r="G46" s="2" t="s">
        <v>223</v>
      </c>
      <c r="H46" s="5"/>
      <c r="I46" s="5"/>
      <c r="J46" s="5"/>
      <c r="K46" s="6"/>
    </row>
    <row r="47" spans="1:11" ht="94.5" customHeight="1">
      <c r="A47" s="2" t="s">
        <v>224</v>
      </c>
      <c r="B47" s="2" t="s">
        <v>210</v>
      </c>
      <c r="C47" s="2" t="s">
        <v>225</v>
      </c>
      <c r="D47" s="3" t="s">
        <v>14</v>
      </c>
      <c r="E47" s="2" t="s">
        <v>226</v>
      </c>
      <c r="F47" s="4" t="s">
        <v>227</v>
      </c>
      <c r="G47" s="2" t="s">
        <v>228</v>
      </c>
      <c r="H47" s="5"/>
      <c r="I47" s="5"/>
      <c r="J47" s="5"/>
      <c r="K47" s="6"/>
    </row>
    <row r="48" spans="1:11" ht="94.5" customHeight="1">
      <c r="A48" s="2" t="s">
        <v>229</v>
      </c>
      <c r="B48" s="2" t="s">
        <v>210</v>
      </c>
      <c r="C48" s="2" t="s">
        <v>230</v>
      </c>
      <c r="D48" s="3" t="s">
        <v>14</v>
      </c>
      <c r="E48" s="4" t="s">
        <v>231</v>
      </c>
      <c r="F48" s="4" t="s">
        <v>232</v>
      </c>
      <c r="G48" s="2" t="s">
        <v>233</v>
      </c>
      <c r="H48" s="5"/>
      <c r="I48" s="5"/>
      <c r="J48" s="5"/>
      <c r="K48" s="6"/>
    </row>
    <row r="49" spans="1:11" ht="94.5" customHeight="1">
      <c r="A49" s="2" t="s">
        <v>234</v>
      </c>
      <c r="B49" s="2" t="s">
        <v>210</v>
      </c>
      <c r="C49" s="2" t="s">
        <v>235</v>
      </c>
      <c r="D49" s="3" t="s">
        <v>14</v>
      </c>
      <c r="E49" s="2" t="s">
        <v>51</v>
      </c>
      <c r="F49" s="4" t="s">
        <v>52</v>
      </c>
      <c r="G49" s="2" t="s">
        <v>236</v>
      </c>
      <c r="H49" s="5"/>
      <c r="I49" s="5"/>
      <c r="J49" s="5"/>
      <c r="K49" s="6"/>
    </row>
    <row r="50" spans="1:11" ht="94.5" customHeight="1">
      <c r="A50" s="2" t="s">
        <v>237</v>
      </c>
      <c r="B50" s="2" t="s">
        <v>210</v>
      </c>
      <c r="C50" s="2" t="s">
        <v>238</v>
      </c>
      <c r="D50" s="7" t="s">
        <v>57</v>
      </c>
      <c r="E50" s="2" t="s">
        <v>171</v>
      </c>
      <c r="F50" s="4" t="s">
        <v>172</v>
      </c>
      <c r="G50" s="2" t="s">
        <v>239</v>
      </c>
      <c r="H50" s="5"/>
      <c r="I50" s="5"/>
      <c r="J50" s="5"/>
      <c r="K50" s="6"/>
    </row>
    <row r="51" spans="1:11" ht="94.5" customHeight="1">
      <c r="A51" s="2" t="s">
        <v>240</v>
      </c>
      <c r="B51" s="2" t="s">
        <v>210</v>
      </c>
      <c r="C51" s="2" t="s">
        <v>241</v>
      </c>
      <c r="D51" s="7" t="s">
        <v>57</v>
      </c>
      <c r="E51" s="4" t="s">
        <v>242</v>
      </c>
      <c r="F51" s="4" t="s">
        <v>243</v>
      </c>
      <c r="G51" s="2" t="s">
        <v>244</v>
      </c>
      <c r="H51" s="5"/>
      <c r="I51" s="5"/>
      <c r="J51" s="5"/>
      <c r="K51" s="6"/>
    </row>
    <row r="52" spans="1:11" ht="94.5" customHeight="1">
      <c r="A52" s="2" t="s">
        <v>245</v>
      </c>
      <c r="B52" s="2" t="s">
        <v>246</v>
      </c>
      <c r="C52" s="2" t="s">
        <v>247</v>
      </c>
      <c r="D52" s="7" t="s">
        <v>57</v>
      </c>
      <c r="E52" s="2" t="s">
        <v>248</v>
      </c>
      <c r="F52" s="2" t="s">
        <v>249</v>
      </c>
      <c r="G52" s="2" t="s">
        <v>250</v>
      </c>
      <c r="H52" s="5"/>
      <c r="I52" s="5"/>
      <c r="J52" s="5"/>
      <c r="K52" s="6"/>
    </row>
    <row r="53" spans="1:11" ht="94.5" customHeight="1">
      <c r="A53" s="2" t="s">
        <v>251</v>
      </c>
      <c r="B53" s="2" t="s">
        <v>252</v>
      </c>
      <c r="C53" s="2" t="s">
        <v>253</v>
      </c>
      <c r="D53" s="7" t="s">
        <v>57</v>
      </c>
      <c r="E53" s="2" t="s">
        <v>254</v>
      </c>
      <c r="F53" s="4" t="s">
        <v>255</v>
      </c>
      <c r="G53" s="2" t="s">
        <v>256</v>
      </c>
      <c r="H53" s="5"/>
      <c r="I53" s="5"/>
      <c r="J53" s="5"/>
      <c r="K53" s="6"/>
    </row>
    <row r="54" spans="1:11" ht="94.5" customHeight="1">
      <c r="A54" s="2" t="s">
        <v>257</v>
      </c>
      <c r="B54" s="2" t="s">
        <v>252</v>
      </c>
      <c r="C54" s="2" t="s">
        <v>258</v>
      </c>
      <c r="D54" s="3" t="s">
        <v>14</v>
      </c>
      <c r="E54" s="4" t="s">
        <v>259</v>
      </c>
      <c r="F54" s="4" t="s">
        <v>142</v>
      </c>
      <c r="G54" s="2" t="s">
        <v>260</v>
      </c>
      <c r="H54" s="5"/>
      <c r="I54" s="5"/>
      <c r="J54" s="5"/>
      <c r="K54" s="6"/>
    </row>
    <row r="55" spans="1:11" ht="94.5" customHeight="1">
      <c r="A55" s="2" t="s">
        <v>261</v>
      </c>
      <c r="B55" s="2" t="s">
        <v>252</v>
      </c>
      <c r="C55" s="2" t="s">
        <v>262</v>
      </c>
      <c r="D55" s="7" t="s">
        <v>57</v>
      </c>
      <c r="E55" s="2" t="s">
        <v>263</v>
      </c>
      <c r="F55" s="4" t="s">
        <v>264</v>
      </c>
      <c r="G55" s="2" t="s">
        <v>265</v>
      </c>
      <c r="H55" s="5"/>
      <c r="I55" s="5"/>
      <c r="J55" s="5"/>
      <c r="K55" s="6"/>
    </row>
    <row r="56" spans="1:11" ht="94.5" customHeight="1">
      <c r="A56" s="2" t="s">
        <v>266</v>
      </c>
      <c r="B56" s="2" t="s">
        <v>267</v>
      </c>
      <c r="C56" s="2" t="s">
        <v>268</v>
      </c>
      <c r="D56" s="3" t="s">
        <v>14</v>
      </c>
      <c r="E56" s="2" t="s">
        <v>269</v>
      </c>
      <c r="F56" s="4" t="s">
        <v>270</v>
      </c>
      <c r="G56" s="2" t="s">
        <v>271</v>
      </c>
      <c r="H56" s="5"/>
      <c r="I56" s="5"/>
      <c r="J56" s="5"/>
      <c r="K56" s="6"/>
    </row>
    <row r="57" spans="1:11" ht="94.5" customHeight="1">
      <c r="A57" s="2" t="s">
        <v>272</v>
      </c>
      <c r="B57" s="2" t="s">
        <v>267</v>
      </c>
      <c r="C57" s="2" t="s">
        <v>273</v>
      </c>
      <c r="D57" s="3" t="s">
        <v>14</v>
      </c>
      <c r="E57" s="2" t="s">
        <v>274</v>
      </c>
      <c r="F57" s="4" t="s">
        <v>264</v>
      </c>
      <c r="G57" s="2" t="s">
        <v>275</v>
      </c>
      <c r="H57" s="5"/>
      <c r="I57" s="5"/>
      <c r="J57" s="5"/>
      <c r="K57" s="6"/>
    </row>
    <row r="58" spans="1:11" ht="94.5" customHeight="1">
      <c r="A58" s="2" t="s">
        <v>276</v>
      </c>
      <c r="B58" s="2" t="s">
        <v>267</v>
      </c>
      <c r="C58" s="2" t="s">
        <v>277</v>
      </c>
      <c r="D58" s="3" t="s">
        <v>14</v>
      </c>
      <c r="E58" s="2" t="s">
        <v>278</v>
      </c>
      <c r="F58" s="4" t="s">
        <v>279</v>
      </c>
      <c r="G58" s="2" t="s">
        <v>280</v>
      </c>
      <c r="H58" s="5"/>
      <c r="I58" s="5"/>
      <c r="J58" s="5"/>
      <c r="K58" s="6"/>
    </row>
    <row r="59" spans="1:11" ht="94.5" customHeight="1">
      <c r="A59" s="2" t="s">
        <v>281</v>
      </c>
      <c r="B59" s="2" t="s">
        <v>267</v>
      </c>
      <c r="C59" s="2" t="s">
        <v>282</v>
      </c>
      <c r="D59" s="7" t="s">
        <v>57</v>
      </c>
      <c r="E59" s="2" t="s">
        <v>283</v>
      </c>
      <c r="F59" s="4" t="s">
        <v>284</v>
      </c>
      <c r="G59" s="2" t="s">
        <v>285</v>
      </c>
      <c r="H59" s="5"/>
      <c r="I59" s="5"/>
      <c r="J59" s="5"/>
      <c r="K59" s="6"/>
    </row>
    <row r="60" spans="1:11" ht="94.5" customHeight="1">
      <c r="A60" s="2" t="s">
        <v>286</v>
      </c>
      <c r="B60" s="2" t="s">
        <v>287</v>
      </c>
      <c r="C60" s="2" t="s">
        <v>288</v>
      </c>
      <c r="D60" s="7" t="s">
        <v>57</v>
      </c>
      <c r="E60" s="2" t="s">
        <v>289</v>
      </c>
      <c r="F60" s="4" t="s">
        <v>290</v>
      </c>
      <c r="G60" s="2" t="s">
        <v>291</v>
      </c>
      <c r="H60" s="5"/>
      <c r="I60" s="5"/>
      <c r="J60" s="5"/>
      <c r="K60" s="6"/>
    </row>
    <row r="61" spans="1:11" ht="94.5" customHeight="1">
      <c r="A61" s="2" t="s">
        <v>292</v>
      </c>
      <c r="B61" s="2" t="s">
        <v>287</v>
      </c>
      <c r="C61" s="2" t="s">
        <v>293</v>
      </c>
      <c r="D61" s="7" t="s">
        <v>57</v>
      </c>
      <c r="E61" s="2" t="s">
        <v>289</v>
      </c>
      <c r="F61" s="4" t="s">
        <v>294</v>
      </c>
      <c r="G61" s="2" t="s">
        <v>295</v>
      </c>
      <c r="H61" s="5"/>
      <c r="I61" s="5"/>
      <c r="J61" s="5"/>
      <c r="K61" s="6"/>
    </row>
    <row r="62" spans="1:11" ht="94.5" customHeight="1">
      <c r="A62" s="2" t="s">
        <v>296</v>
      </c>
      <c r="B62" s="2" t="s">
        <v>287</v>
      </c>
      <c r="C62" s="2" t="s">
        <v>297</v>
      </c>
      <c r="D62" s="7" t="s">
        <v>57</v>
      </c>
      <c r="E62" s="2" t="s">
        <v>298</v>
      </c>
      <c r="F62" s="4" t="s">
        <v>299</v>
      </c>
      <c r="G62" s="2" t="s">
        <v>300</v>
      </c>
      <c r="H62" s="5"/>
      <c r="I62" s="5"/>
      <c r="J62" s="5"/>
      <c r="K62" s="6"/>
    </row>
    <row r="63" spans="1:11" ht="94.5" customHeight="1">
      <c r="A63" s="2" t="s">
        <v>301</v>
      </c>
      <c r="B63" s="2" t="s">
        <v>287</v>
      </c>
      <c r="C63" s="2" t="s">
        <v>302</v>
      </c>
      <c r="D63" s="7" t="s">
        <v>57</v>
      </c>
      <c r="E63" s="2" t="s">
        <v>303</v>
      </c>
      <c r="F63" s="4" t="s">
        <v>304</v>
      </c>
      <c r="G63" s="2" t="s">
        <v>305</v>
      </c>
      <c r="H63" s="5"/>
      <c r="I63" s="5"/>
      <c r="J63" s="5"/>
      <c r="K63" s="6"/>
    </row>
    <row r="64" spans="1:11" ht="94.5" customHeight="1"/>
    <row r="65" ht="94.5" customHeight="1"/>
  </sheetData>
  <autoFilter ref="A1:K65"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2"/>
  <sheetViews>
    <sheetView zoomScaleNormal="100" workbookViewId="0"/>
  </sheetViews>
  <sheetFormatPr defaultColWidth="8.7109375" defaultRowHeight="15"/>
  <cols>
    <col min="1" max="1" width="22" customWidth="1"/>
    <col min="2" max="2" width="95" customWidth="1"/>
  </cols>
  <sheetData>
    <row r="1" spans="1:2" ht="48" customHeight="1">
      <c r="A1" s="8" t="s">
        <v>306</v>
      </c>
      <c r="B1" s="8"/>
    </row>
    <row r="2" spans="1:2" ht="15" customHeight="1">
      <c r="A2" s="9"/>
      <c r="B2" s="9"/>
    </row>
    <row r="3" spans="1:2" ht="15" customHeight="1">
      <c r="A3" s="9" t="s">
        <v>307</v>
      </c>
      <c r="B3" s="9"/>
    </row>
    <row r="4" spans="1:2" ht="15" customHeight="1">
      <c r="A4" s="9"/>
      <c r="B4" s="9" t="s">
        <v>308</v>
      </c>
    </row>
    <row r="5" spans="1:2" ht="15" customHeight="1">
      <c r="A5" s="9"/>
      <c r="B5" s="9"/>
    </row>
    <row r="6" spans="1:2" ht="15" customHeight="1">
      <c r="A6" s="9" t="s">
        <v>309</v>
      </c>
      <c r="B6" s="9"/>
    </row>
    <row r="7" spans="1:2" ht="15" customHeight="1">
      <c r="A7" s="9" t="s">
        <v>310</v>
      </c>
      <c r="B7" s="9" t="s">
        <v>311</v>
      </c>
    </row>
    <row r="8" spans="1:2" ht="15" customHeight="1">
      <c r="A8" s="9" t="s">
        <v>312</v>
      </c>
      <c r="B8" s="9" t="s">
        <v>313</v>
      </c>
    </row>
    <row r="9" spans="1:2" ht="15" customHeight="1">
      <c r="A9" s="9"/>
      <c r="B9" s="9" t="s">
        <v>314</v>
      </c>
    </row>
    <row r="10" spans="1:2" ht="15" customHeight="1">
      <c r="A10" s="9"/>
      <c r="B10" s="9"/>
    </row>
    <row r="11" spans="1:2" ht="23.25" customHeight="1">
      <c r="A11" s="9" t="s">
        <v>315</v>
      </c>
      <c r="B11" s="9"/>
    </row>
    <row r="12" spans="1:2" ht="15" customHeight="1">
      <c r="A12" s="9" t="s">
        <v>7</v>
      </c>
      <c r="B12" s="9" t="s">
        <v>316</v>
      </c>
    </row>
    <row r="13" spans="1:2" ht="15" customHeight="1">
      <c r="A13" s="9" t="s">
        <v>8</v>
      </c>
      <c r="B13" s="9" t="s">
        <v>317</v>
      </c>
    </row>
    <row r="14" spans="1:2" ht="15" customHeight="1">
      <c r="A14" s="9" t="s">
        <v>9</v>
      </c>
      <c r="B14" s="9" t="s">
        <v>318</v>
      </c>
    </row>
    <row r="15" spans="1:2" ht="15" customHeight="1">
      <c r="A15" s="9"/>
      <c r="B15" s="9" t="s">
        <v>319</v>
      </c>
    </row>
    <row r="16" spans="1:2" ht="15" customHeight="1">
      <c r="A16" s="9"/>
      <c r="B16" s="9"/>
    </row>
    <row r="17" spans="1:2" ht="23.25" customHeight="1">
      <c r="A17" s="9" t="s">
        <v>320</v>
      </c>
      <c r="B17" s="9"/>
    </row>
    <row r="18" spans="1:2" ht="15" customHeight="1">
      <c r="A18" s="9"/>
      <c r="B18" s="9" t="s">
        <v>321</v>
      </c>
    </row>
    <row r="19" spans="1:2" ht="15" customHeight="1">
      <c r="A19" s="9"/>
      <c r="B19" s="9" t="s">
        <v>322</v>
      </c>
    </row>
    <row r="20" spans="1:2" ht="15" customHeight="1">
      <c r="A20" s="9"/>
      <c r="B20" s="9" t="s">
        <v>323</v>
      </c>
    </row>
    <row r="21" spans="1:2" ht="15" customHeight="1">
      <c r="A21" s="9"/>
      <c r="B21" s="9" t="s">
        <v>324</v>
      </c>
    </row>
    <row r="22" spans="1:2" ht="15" customHeight="1">
      <c r="A22" s="9"/>
      <c r="B22" s="9" t="s">
        <v>325</v>
      </c>
    </row>
    <row r="23" spans="1:2" ht="15" customHeight="1">
      <c r="A23" s="9"/>
      <c r="B23" s="9" t="s">
        <v>326</v>
      </c>
    </row>
    <row r="24" spans="1:2" ht="15" customHeight="1">
      <c r="A24" s="9"/>
      <c r="B24" s="9"/>
    </row>
    <row r="25" spans="1:2" ht="23.25" customHeight="1">
      <c r="A25" s="9" t="s">
        <v>327</v>
      </c>
      <c r="B25" s="9"/>
    </row>
    <row r="26" spans="1:2" ht="23.25" customHeight="1">
      <c r="A26" s="9"/>
      <c r="B26" s="9" t="s">
        <v>328</v>
      </c>
    </row>
    <row r="27" spans="1:2" ht="15" customHeight="1">
      <c r="A27" s="9"/>
      <c r="B27" s="9" t="s">
        <v>329</v>
      </c>
    </row>
    <row r="28" spans="1:2" ht="15" customHeight="1">
      <c r="A28" s="9"/>
      <c r="B28" s="9"/>
    </row>
    <row r="29" spans="1:2" ht="23.25" customHeight="1">
      <c r="A29" s="9" t="s">
        <v>330</v>
      </c>
      <c r="B29" s="9"/>
    </row>
    <row r="30" spans="1:2" ht="15" customHeight="1">
      <c r="A30" s="9"/>
      <c r="B30" s="9" t="s">
        <v>331</v>
      </c>
    </row>
    <row r="31" spans="1:2" ht="15" customHeight="1">
      <c r="A31" s="9"/>
      <c r="B31" s="9" t="s">
        <v>332</v>
      </c>
    </row>
    <row r="32" spans="1:2" ht="15" customHeight="1">
      <c r="A32" s="9"/>
      <c r="B32" s="9" t="s">
        <v>333</v>
      </c>
    </row>
    <row r="33" spans="1:2" ht="15" customHeight="1">
      <c r="A33" s="9"/>
      <c r="B33" s="9"/>
    </row>
    <row r="34" spans="1:2" ht="15" customHeight="1">
      <c r="A34" s="9" t="s">
        <v>334</v>
      </c>
      <c r="B34" s="9"/>
    </row>
    <row r="35" spans="1:2" ht="15" customHeight="1">
      <c r="A35" s="9" t="s">
        <v>335</v>
      </c>
      <c r="B35" s="9" t="s">
        <v>336</v>
      </c>
    </row>
    <row r="36" spans="1:2" ht="15" customHeight="1">
      <c r="A36" s="9" t="s">
        <v>337</v>
      </c>
      <c r="B36" s="9" t="s">
        <v>338</v>
      </c>
    </row>
    <row r="37" spans="1:2" ht="15" customHeight="1">
      <c r="A37" s="9" t="s">
        <v>339</v>
      </c>
      <c r="B37" s="9" t="s">
        <v>340</v>
      </c>
    </row>
    <row r="38" spans="1:2" ht="15" customHeight="1">
      <c r="A38" s="9" t="s">
        <v>341</v>
      </c>
      <c r="B38" s="9" t="s">
        <v>342</v>
      </c>
    </row>
    <row r="39" spans="1:2" ht="15" customHeight="1">
      <c r="A39" s="9"/>
      <c r="B39" s="9"/>
    </row>
    <row r="40" spans="1:2" ht="15" customHeight="1">
      <c r="A40" s="9" t="s">
        <v>343</v>
      </c>
      <c r="B40" s="9"/>
    </row>
    <row r="41" spans="1:2" ht="15" customHeight="1">
      <c r="A41" s="9"/>
      <c r="B41" s="9" t="s">
        <v>344</v>
      </c>
    </row>
    <row r="42" spans="1:2" ht="15" customHeight="1">
      <c r="A42" s="9"/>
      <c r="B42" s="9" t="s">
        <v>345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zoomScaleNormal="100" workbookViewId="0"/>
  </sheetViews>
  <sheetFormatPr defaultColWidth="8.7109375" defaultRowHeight="15"/>
  <cols>
    <col min="1" max="1" width="12" customWidth="1"/>
    <col min="2" max="6" width="14" customWidth="1"/>
  </cols>
  <sheetData>
    <row r="1" spans="1:6" ht="27.75" customHeight="1">
      <c r="A1" s="1" t="s">
        <v>3</v>
      </c>
      <c r="B1" s="1" t="s">
        <v>346</v>
      </c>
      <c r="C1" s="1" t="s">
        <v>347</v>
      </c>
      <c r="D1" s="1" t="s">
        <v>348</v>
      </c>
      <c r="E1" s="1" t="s">
        <v>349</v>
      </c>
      <c r="F1" s="1" t="s">
        <v>350</v>
      </c>
    </row>
    <row r="2" spans="1:6" ht="15" customHeight="1">
      <c r="A2" s="7" t="s">
        <v>57</v>
      </c>
      <c r="B2" s="10">
        <f>COUNTIF('Eng Hearing Sheet'!D:D,A2)</f>
        <v>27</v>
      </c>
      <c r="C2" s="10">
        <f>SUMIF('Eng Hearing Sheet'!D:D,A2,'Eng Hearing Sheet'!H:H)</f>
        <v>0</v>
      </c>
      <c r="D2" s="10">
        <f>SUMIF('Eng Hearing Sheet'!D:D,A2,'Eng Hearing Sheet'!I:I)</f>
        <v>0</v>
      </c>
      <c r="E2" s="10">
        <f>SUMIF('Eng Hearing Sheet'!D:D,A2,'Eng Hearing Sheet'!J:J)</f>
        <v>0</v>
      </c>
      <c r="F2" s="10">
        <f>IFERROR((C2+4*D2+E2)/6,0)</f>
        <v>0</v>
      </c>
    </row>
    <row r="3" spans="1:6" ht="15" customHeight="1">
      <c r="A3" s="3" t="s">
        <v>14</v>
      </c>
      <c r="B3" s="10">
        <f>COUNTIF('Eng Hearing Sheet'!D:D,A3)</f>
        <v>35</v>
      </c>
      <c r="C3" s="10">
        <f>SUMIF('Eng Hearing Sheet'!D:D,A3,'Eng Hearing Sheet'!H:H)</f>
        <v>0</v>
      </c>
      <c r="D3" s="10">
        <f>SUMIF('Eng Hearing Sheet'!D:D,A3,'Eng Hearing Sheet'!I:I)</f>
        <v>0</v>
      </c>
      <c r="E3" s="10">
        <f>SUMIF('Eng Hearing Sheet'!D:D,A3,'Eng Hearing Sheet'!J:J)</f>
        <v>0</v>
      </c>
      <c r="F3" s="10">
        <f>IFERROR((C3+4*D3+E3)/6,0)</f>
        <v>0</v>
      </c>
    </row>
    <row r="4" spans="1:6" ht="15" customHeight="1">
      <c r="A4" s="11" t="s">
        <v>351</v>
      </c>
      <c r="B4" s="12">
        <f>SUM(B2:B3)</f>
        <v>62</v>
      </c>
      <c r="C4" s="12">
        <f>SUM(C2:C3)</f>
        <v>0</v>
      </c>
      <c r="D4" s="12">
        <f>SUM(D2:D3)</f>
        <v>0</v>
      </c>
      <c r="E4" s="12">
        <f>SUM(E2:E3)</f>
        <v>0</v>
      </c>
      <c r="F4" s="12">
        <f>SUM(F2:F3)</f>
        <v>0</v>
      </c>
    </row>
    <row r="7" spans="1:6" ht="15" customHeight="1">
      <c r="A7" s="13" t="s">
        <v>352</v>
      </c>
    </row>
    <row r="8" spans="1:6" ht="27.75" customHeight="1">
      <c r="A8" s="1" t="s">
        <v>1</v>
      </c>
      <c r="B8" s="1" t="s">
        <v>346</v>
      </c>
      <c r="C8" s="1" t="s">
        <v>347</v>
      </c>
      <c r="D8" s="1" t="s">
        <v>348</v>
      </c>
      <c r="E8" s="1" t="s">
        <v>349</v>
      </c>
      <c r="F8" s="1" t="s">
        <v>350</v>
      </c>
    </row>
    <row r="9" spans="1:6" ht="15" customHeight="1">
      <c r="A9" s="2" t="s">
        <v>12</v>
      </c>
      <c r="B9" s="10">
        <f>COUNTIF('Eng Hearing Sheet'!B:B,A9)</f>
        <v>1</v>
      </c>
      <c r="C9" s="10">
        <f>SUMIF('Eng Hearing Sheet'!B:B,A9,'Eng Hearing Sheet'!H:H)</f>
        <v>0</v>
      </c>
      <c r="D9" s="10">
        <f>SUMIF('Eng Hearing Sheet'!B:B,A9,'Eng Hearing Sheet'!I:I)</f>
        <v>0</v>
      </c>
      <c r="E9" s="10">
        <f>SUMIF('Eng Hearing Sheet'!B:B,A9,'Eng Hearing Sheet'!J:J)</f>
        <v>0</v>
      </c>
      <c r="F9" s="10">
        <f>IFERROR((C9+4*D9+E9)/6,0)</f>
        <v>0</v>
      </c>
    </row>
    <row r="10" spans="1:6" ht="15" customHeight="1">
      <c r="A10" s="2" t="s">
        <v>19</v>
      </c>
      <c r="B10" s="10">
        <f>COUNTIF('Eng Hearing Sheet'!B:B,A10)</f>
        <v>2</v>
      </c>
      <c r="C10" s="10">
        <f>SUMIF('Eng Hearing Sheet'!B:B,A10,'Eng Hearing Sheet'!H:H)</f>
        <v>0</v>
      </c>
      <c r="D10" s="10">
        <f>SUMIF('Eng Hearing Sheet'!B:B,A10,'Eng Hearing Sheet'!I:I)</f>
        <v>0</v>
      </c>
      <c r="E10" s="10">
        <f>SUMIF('Eng Hearing Sheet'!B:B,A10,'Eng Hearing Sheet'!J:J)</f>
        <v>0</v>
      </c>
      <c r="F10" s="10">
        <f>IFERROR((C10+4*D10+E10)/6,0)</f>
        <v>0</v>
      </c>
    </row>
    <row r="11" spans="1:6" ht="23.25" customHeight="1">
      <c r="A11" s="2" t="s">
        <v>30</v>
      </c>
      <c r="B11" s="10">
        <f>COUNTIF('Eng Hearing Sheet'!B:B,A11)</f>
        <v>6</v>
      </c>
      <c r="C11" s="10">
        <f>SUMIF('Eng Hearing Sheet'!B:B,A11,'Eng Hearing Sheet'!H:H)</f>
        <v>0</v>
      </c>
      <c r="D11" s="10">
        <f>SUMIF('Eng Hearing Sheet'!B:B,A11,'Eng Hearing Sheet'!I:I)</f>
        <v>0</v>
      </c>
      <c r="E11" s="10">
        <f>SUMIF('Eng Hearing Sheet'!B:B,A11,'Eng Hearing Sheet'!J:J)</f>
        <v>0</v>
      </c>
      <c r="F11" s="10">
        <f>IFERROR((C11+4*D11+E11)/6,0)</f>
        <v>0</v>
      </c>
    </row>
    <row r="12" spans="1:6" ht="15" customHeight="1">
      <c r="A12" s="2" t="s">
        <v>55</v>
      </c>
      <c r="B12" s="10">
        <f>COUNTIF('Eng Hearing Sheet'!B:B,A12)</f>
        <v>8</v>
      </c>
      <c r="C12" s="10">
        <f>SUMIF('Eng Hearing Sheet'!B:B,A12,'Eng Hearing Sheet'!H:H)</f>
        <v>0</v>
      </c>
      <c r="D12" s="10">
        <f>SUMIF('Eng Hearing Sheet'!B:B,A12,'Eng Hearing Sheet'!I:I)</f>
        <v>0</v>
      </c>
      <c r="E12" s="10">
        <f>SUMIF('Eng Hearing Sheet'!B:B,A12,'Eng Hearing Sheet'!J:J)</f>
        <v>0</v>
      </c>
      <c r="F12" s="10">
        <f>IFERROR((C12+4*D12+E12)/6,0)</f>
        <v>0</v>
      </c>
    </row>
    <row r="13" spans="1:6" ht="23.25" customHeight="1">
      <c r="A13" s="2" t="s">
        <v>91</v>
      </c>
      <c r="B13" s="10">
        <f>COUNTIF('Eng Hearing Sheet'!B:B,A13)</f>
        <v>8</v>
      </c>
      <c r="C13" s="10">
        <f>SUMIF('Eng Hearing Sheet'!B:B,A13,'Eng Hearing Sheet'!H:H)</f>
        <v>0</v>
      </c>
      <c r="D13" s="10">
        <f>SUMIF('Eng Hearing Sheet'!B:B,A13,'Eng Hearing Sheet'!I:I)</f>
        <v>0</v>
      </c>
      <c r="E13" s="10">
        <f>SUMIF('Eng Hearing Sheet'!B:B,A13,'Eng Hearing Sheet'!J:J)</f>
        <v>0</v>
      </c>
      <c r="F13" s="10">
        <f>IFERROR((C13+4*D13+E13)/6,0)</f>
        <v>0</v>
      </c>
    </row>
    <row r="14" spans="1:6" ht="15" customHeight="1">
      <c r="A14" s="2" t="s">
        <v>126</v>
      </c>
      <c r="B14" s="10">
        <f>COUNTIF('Eng Hearing Sheet'!B:B,A14)</f>
        <v>10</v>
      </c>
      <c r="C14" s="10">
        <f>SUMIF('Eng Hearing Sheet'!B:B,A14,'Eng Hearing Sheet'!H:H)</f>
        <v>0</v>
      </c>
      <c r="D14" s="10">
        <f>SUMIF('Eng Hearing Sheet'!B:B,A14,'Eng Hearing Sheet'!I:I)</f>
        <v>0</v>
      </c>
      <c r="E14" s="10">
        <f>SUMIF('Eng Hearing Sheet'!B:B,A14,'Eng Hearing Sheet'!J:J)</f>
        <v>0</v>
      </c>
      <c r="F14" s="10">
        <f>IFERROR((C14+4*D14+E14)/6,0)</f>
        <v>0</v>
      </c>
    </row>
    <row r="15" spans="1:6" ht="23.25" customHeight="1">
      <c r="A15" s="2" t="s">
        <v>175</v>
      </c>
      <c r="B15" s="10">
        <f>COUNTIF('Eng Hearing Sheet'!B:B,A15)</f>
        <v>7</v>
      </c>
      <c r="C15" s="10">
        <f>SUMIF('Eng Hearing Sheet'!B:B,A15,'Eng Hearing Sheet'!H:H)</f>
        <v>0</v>
      </c>
      <c r="D15" s="10">
        <f>SUMIF('Eng Hearing Sheet'!B:B,A15,'Eng Hearing Sheet'!I:I)</f>
        <v>0</v>
      </c>
      <c r="E15" s="10">
        <f>SUMIF('Eng Hearing Sheet'!B:B,A15,'Eng Hearing Sheet'!J:J)</f>
        <v>0</v>
      </c>
      <c r="F15" s="10">
        <f>IFERROR((C15+4*D15+E15)/6,0)</f>
        <v>0</v>
      </c>
    </row>
    <row r="16" spans="1:6" ht="15" customHeight="1">
      <c r="A16" s="2" t="s">
        <v>210</v>
      </c>
      <c r="B16" s="10">
        <f>COUNTIF('Eng Hearing Sheet'!B:B,A16)</f>
        <v>8</v>
      </c>
      <c r="C16" s="10">
        <f>SUMIF('Eng Hearing Sheet'!B:B,A16,'Eng Hearing Sheet'!H:H)</f>
        <v>0</v>
      </c>
      <c r="D16" s="10">
        <f>SUMIF('Eng Hearing Sheet'!B:B,A16,'Eng Hearing Sheet'!I:I)</f>
        <v>0</v>
      </c>
      <c r="E16" s="10">
        <f>SUMIF('Eng Hearing Sheet'!B:B,A16,'Eng Hearing Sheet'!J:J)</f>
        <v>0</v>
      </c>
      <c r="F16" s="10">
        <f>IFERROR((C16+4*D16+E16)/6,0)</f>
        <v>0</v>
      </c>
    </row>
    <row r="17" spans="1:6" ht="23.25" customHeight="1">
      <c r="A17" s="2" t="s">
        <v>246</v>
      </c>
      <c r="B17" s="10">
        <f>COUNTIF('Eng Hearing Sheet'!B:B,A17)</f>
        <v>1</v>
      </c>
      <c r="C17" s="10">
        <f>SUMIF('Eng Hearing Sheet'!B:B,A17,'Eng Hearing Sheet'!H:H)</f>
        <v>0</v>
      </c>
      <c r="D17" s="10">
        <f>SUMIF('Eng Hearing Sheet'!B:B,A17,'Eng Hearing Sheet'!I:I)</f>
        <v>0</v>
      </c>
      <c r="E17" s="10">
        <f>SUMIF('Eng Hearing Sheet'!B:B,A17,'Eng Hearing Sheet'!J:J)</f>
        <v>0</v>
      </c>
      <c r="F17" s="10">
        <f>IFERROR((C17+4*D17+E17)/6,0)</f>
        <v>0</v>
      </c>
    </row>
    <row r="18" spans="1:6" ht="23.25" customHeight="1">
      <c r="A18" s="2" t="s">
        <v>252</v>
      </c>
      <c r="B18" s="10">
        <f>COUNTIF('Eng Hearing Sheet'!B:B,A18)</f>
        <v>3</v>
      </c>
      <c r="C18" s="10">
        <f>SUMIF('Eng Hearing Sheet'!B:B,A18,'Eng Hearing Sheet'!H:H)</f>
        <v>0</v>
      </c>
      <c r="D18" s="10">
        <f>SUMIF('Eng Hearing Sheet'!B:B,A18,'Eng Hearing Sheet'!I:I)</f>
        <v>0</v>
      </c>
      <c r="E18" s="10">
        <f>SUMIF('Eng Hearing Sheet'!B:B,A18,'Eng Hearing Sheet'!J:J)</f>
        <v>0</v>
      </c>
      <c r="F18" s="10">
        <f>IFERROR((C18+4*D18+E18)/6,0)</f>
        <v>0</v>
      </c>
    </row>
    <row r="19" spans="1:6" ht="15" customHeight="1">
      <c r="A19" s="2" t="s">
        <v>267</v>
      </c>
      <c r="B19" s="10">
        <f>COUNTIF('Eng Hearing Sheet'!B:B,A19)</f>
        <v>4</v>
      </c>
      <c r="C19" s="10">
        <f>SUMIF('Eng Hearing Sheet'!B:B,A19,'Eng Hearing Sheet'!H:H)</f>
        <v>0</v>
      </c>
      <c r="D19" s="10">
        <f>SUMIF('Eng Hearing Sheet'!B:B,A19,'Eng Hearing Sheet'!I:I)</f>
        <v>0</v>
      </c>
      <c r="E19" s="10">
        <f>SUMIF('Eng Hearing Sheet'!B:B,A19,'Eng Hearing Sheet'!J:J)</f>
        <v>0</v>
      </c>
      <c r="F19" s="10">
        <f>IFERROR((C19+4*D19+E19)/6,0)</f>
        <v>0</v>
      </c>
    </row>
    <row r="20" spans="1:6" ht="15" customHeight="1">
      <c r="A20" s="2" t="s">
        <v>287</v>
      </c>
      <c r="B20" s="10">
        <f>COUNTIF('Eng Hearing Sheet'!B:B,A20)</f>
        <v>4</v>
      </c>
      <c r="C20" s="10">
        <f>SUMIF('Eng Hearing Sheet'!B:B,A20,'Eng Hearing Sheet'!H:H)</f>
        <v>0</v>
      </c>
      <c r="D20" s="10">
        <f>SUMIF('Eng Hearing Sheet'!B:B,A20,'Eng Hearing Sheet'!I:I)</f>
        <v>0</v>
      </c>
      <c r="E20" s="10">
        <f>SUMIF('Eng Hearing Sheet'!B:B,A20,'Eng Hearing Sheet'!J:J)</f>
        <v>0</v>
      </c>
      <c r="F20" s="10">
        <f>IFERROR((C20+4*D20+E20)/6,0)</f>
        <v>0</v>
      </c>
    </row>
    <row r="21" spans="1:6" ht="15" customHeight="1">
      <c r="A21" s="2" t="s">
        <v>353</v>
      </c>
      <c r="B21" s="10">
        <f>COUNTIF('Eng Hearing Sheet'!B:B,A21)</f>
        <v>0</v>
      </c>
      <c r="C21" s="10">
        <f>SUMIF('Eng Hearing Sheet'!B:B,A21,'Eng Hearing Sheet'!H:H)</f>
        <v>0</v>
      </c>
      <c r="D21" s="10">
        <f>SUMIF('Eng Hearing Sheet'!B:B,A21,'Eng Hearing Sheet'!I:I)</f>
        <v>0</v>
      </c>
      <c r="E21" s="10">
        <f>SUMIF('Eng Hearing Sheet'!B:B,A21,'Eng Hearing Sheet'!J:J)</f>
        <v>0</v>
      </c>
      <c r="F21" s="10">
        <f>IFERROR((C21+4*D21+E21)/6,0)</f>
        <v>0</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B2FE665C76B64F917C81EB0F911A48" ma:contentTypeVersion="3" ma:contentTypeDescription="Create a new document." ma:contentTypeScope="" ma:versionID="3bb016eb35a27b87e09715b592eab055">
  <xsd:schema xmlns:xsd="http://www.w3.org/2001/XMLSchema" xmlns:xs="http://www.w3.org/2001/XMLSchema" xmlns:p="http://schemas.microsoft.com/office/2006/metadata/properties" xmlns:ns2="335ddc5b-b99d-4c1c-9133-318aa5c2702b" targetNamespace="http://schemas.microsoft.com/office/2006/metadata/properties" ma:root="true" ma:fieldsID="2d49379e7f8a159c4da424c6704269c2" ns2:_="">
    <xsd:import namespace="335ddc5b-b99d-4c1c-9133-318aa5c2702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5ddc5b-b99d-4c1c-9133-318aa5c270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A99910-DE95-4034-97DB-91011583D4F7}"/>
</file>

<file path=customXml/itemProps2.xml><?xml version="1.0" encoding="utf-8"?>
<ds:datastoreItem xmlns:ds="http://schemas.openxmlformats.org/officeDocument/2006/customXml" ds:itemID="{17BDAFEC-FE85-488C-A177-C9926609532F}"/>
</file>

<file path=customXml/itemProps3.xml><?xml version="1.0" encoding="utf-8"?>
<ds:datastoreItem xmlns:ds="http://schemas.openxmlformats.org/officeDocument/2006/customXml" ds:itemID="{5FA4C2BD-9700-4413-8C91-6330A1270F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Martin Kalema</cp:lastModifiedBy>
  <cp:revision>0</cp:revision>
  <dcterms:created xsi:type="dcterms:W3CDTF">2026-05-25T09:55:21Z</dcterms:created>
  <dcterms:modified xsi:type="dcterms:W3CDTF">2026-06-04T06:07:03Z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0x0101007EB2FE665C76B64F917C81EB0F911A48</vt:lpwstr>
  </property>
</Properties>
</file>