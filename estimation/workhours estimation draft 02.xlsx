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6384" windowHeight="8192" tabRatio="500" firstSheet="0" activeTab="0" autoFilterDateGrouping="1"/>
  </bookViews>
  <sheets>
    <sheet name="Eng Hearing Sheet" sheetId="1" state="visible" r:id="rId1"/>
    <sheet name="Instructions" sheetId="2" state="visible" r:id="rId2"/>
    <sheet name="Summary" sheetId="3" state="visible" r:id="rId3"/>
  </sheets>
  <definedNames>
    <definedName name="_xlnm._FilterDatabase" localSheetId="0" hidden="1">'Eng Hearing Sheet'!$A$1:$K$65</definedName>
  </definedNames>
  <calcPr calcId="191028" fullCalcOnLoad="1" iterateDelta="0.0001"/>
</workbook>
</file>

<file path=xl/styles.xml><?xml version="1.0" encoding="utf-8"?>
<styleSheet xmlns="http://schemas.openxmlformats.org/spreadsheetml/2006/main">
  <numFmts count="1">
    <numFmt numFmtId="164" formatCode="#,##0.0"/>
  </numFmts>
  <fonts count="11">
    <font>
      <name val="Calibri"/>
      <charset val="1"/>
      <family val="2"/>
      <color theme="1"/>
      <sz val="11"/>
    </font>
    <font>
      <name val="Arial"/>
      <charset val="1"/>
      <b val="1"/>
      <color rgb="FFFFFFFF"/>
      <sz val="11"/>
    </font>
    <font>
      <name val="Arial"/>
      <charset val="1"/>
      <sz val="10"/>
    </font>
    <font>
      <name val="Arial"/>
      <charset val="1"/>
      <b val="1"/>
      <sz val="10"/>
    </font>
    <font>
      <name val="Noto Sans CJK SC"/>
      <family val="2"/>
      <sz val="10"/>
    </font>
    <font>
      <name val="Noto Sans CJK SC"/>
      <charset val="1"/>
      <family val="2"/>
      <sz val="10"/>
    </font>
    <font>
      <name val="Arial"/>
      <charset val="1"/>
      <b val="1"/>
      <sz val="14"/>
    </font>
    <font>
      <name val="Arial"/>
      <charset val="1"/>
      <b val="1"/>
      <sz val="11"/>
    </font>
    <font>
      <name val="Arial"/>
      <charset val="1"/>
      <b val="1"/>
      <sz val="12"/>
    </font>
    <font>
      <b val="1"/>
    </font>
    <font>
      <i val="1"/>
      <color rgb="00555555"/>
    </font>
  </fonts>
  <fills count="8">
    <fill>
      <patternFill/>
    </fill>
    <fill>
      <patternFill patternType="gray125"/>
    </fill>
    <fill>
      <patternFill patternType="solid">
        <fgColor rgb="FF305496"/>
        <bgColor rgb="FF666699"/>
      </patternFill>
    </fill>
    <fill>
      <patternFill patternType="solid">
        <fgColor rgb="FFFCE4D6"/>
        <bgColor rgb="FFFFF2CC"/>
      </patternFill>
    </fill>
    <fill>
      <patternFill patternType="solid">
        <fgColor rgb="FFFFF2CC"/>
        <bgColor rgb="FFFCE4D6"/>
      </patternFill>
    </fill>
    <fill>
      <patternFill patternType="solid">
        <fgColor rgb="FFE2EFDA"/>
        <bgColor rgb="FFD9E1F2"/>
      </patternFill>
    </fill>
    <fill>
      <patternFill patternType="solid">
        <fgColor rgb="FFD9E1F2"/>
        <bgColor rgb="FFE2EFDA"/>
      </patternFill>
    </fill>
    <fill>
      <patternFill patternType="solid">
        <fgColor rgb="00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3" borderId="1" applyAlignment="1" pivotButton="0" quotePrefix="0" xfId="0">
      <alignment horizontal="center" vertical="center"/>
    </xf>
    <xf numFmtId="0" fontId="5" fillId="0" borderId="1" applyAlignment="1" pivotButton="0" quotePrefix="0" xfId="0">
      <alignment vertical="top" wrapText="1"/>
    </xf>
    <xf numFmtId="164" fontId="2" fillId="4" borderId="1" applyAlignment="1" pivotButton="0" quotePrefix="0" xfId="0">
      <alignment horizontal="right" vertical="top"/>
    </xf>
    <xf numFmtId="0" fontId="2" fillId="4" borderId="1" applyAlignment="1" pivotButton="0" quotePrefix="0" xfId="0">
      <alignment vertical="top" wrapText="1"/>
    </xf>
    <xf numFmtId="0" fontId="3" fillId="5" borderId="1" applyAlignment="1" pivotButton="0" quotePrefix="0" xfId="0">
      <alignment horizontal="center" vertical="center"/>
    </xf>
    <xf numFmtId="0" fontId="6" fillId="0" borderId="0" applyAlignment="1" pivotButton="0" quotePrefix="0" xfId="0">
      <alignment vertical="top" wrapText="1"/>
    </xf>
    <xf numFmtId="0" fontId="2" fillId="0" borderId="0" applyAlignment="1" pivotButton="0" quotePrefix="0" xfId="0">
      <alignment vertical="top" wrapText="1"/>
    </xf>
    <xf numFmtId="164" fontId="2" fillId="0" borderId="1" applyAlignment="1" pivotButton="0" quotePrefix="0" xfId="0">
      <alignment horizontal="right" vertical="top"/>
    </xf>
    <xf numFmtId="0" fontId="7" fillId="6" borderId="1" applyAlignment="1" pivotButton="0" quotePrefix="0" xfId="0">
      <alignment horizontal="center"/>
    </xf>
    <xf numFmtId="164" fontId="7" fillId="6" borderId="1" applyAlignment="1" pivotButton="0" quotePrefix="0" xfId="0">
      <alignment horizontal="right" vertical="top"/>
    </xf>
    <xf numFmtId="0" fontId="8" fillId="0" borderId="0" pivotButton="0" quotePrefix="0" xfId="0"/>
    <xf numFmtId="0" fontId="9" fillId="2" borderId="1" applyAlignment="1" pivotButton="0" quotePrefix="0" xfId="0">
      <alignment horizontal="center" vertical="center" wrapText="1"/>
    </xf>
    <xf numFmtId="0" fontId="9" fillId="7" borderId="1" applyAlignment="1" pivotButton="0" quotePrefix="0" xfId="0">
      <alignment horizontal="center" vertical="center"/>
    </xf>
    <xf numFmtId="164" fontId="9" fillId="7" borderId="1" applyAlignment="1" pivotButton="0" quotePrefix="0" xfId="0">
      <alignment horizontal="right" vertical="top"/>
    </xf>
    <xf numFmtId="164" fontId="0" fillId="0" borderId="0" pivotButton="0" quotePrefix="0" xfId="0"/>
    <xf numFmtId="0" fontId="9" fillId="0" borderId="0" pivotButton="0" quotePrefix="0" xfId="0"/>
    <xf numFmtId="164" fontId="9" fillId="0" borderId="0" pivotButton="0" quotePrefix="0" xfId="0"/>
    <xf numFmtId="0" fontId="10" fillId="2" borderId="1" applyAlignment="1" pivotButton="0" quotePrefix="0" xfId="0">
      <alignment horizontal="center" vertical="center" wrapText="1"/>
    </xf>
    <xf numFmtId="0" fontId="10" fillId="0" borderId="1" applyAlignment="1" pivotButton="0" quotePrefix="0" xfId="0">
      <alignment vertical="top" wrapText="1"/>
    </xf>
    <xf numFmtId="0" fontId="9" fillId="0" borderId="1" applyAlignment="1" pivotButton="0" quotePrefix="0" xfId="0">
      <alignment vertical="top" wrapText="1"/>
    </xf>
    <xf numFmtId="0" fontId="9" fillId="7" borderId="1" applyAlignment="1" pivotButton="0" quotePrefix="0" xfId="0">
      <alignment vertical="top" wrapText="1"/>
    </xf>
    <xf numFmtId="164" fontId="9" fillId="0" borderId="1" applyAlignment="1" pivotButton="0" quotePrefix="0" xfId="0">
      <alignment horizontal="right" vertical="top"/>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8"/>
  <sheetViews>
    <sheetView tabSelected="1" zoomScaleNormal="100" workbookViewId="0">
      <pane xSplit="3" ySplit="1" topLeftCell="D2" activePane="bottomRight" state="frozen"/>
      <selection pane="bottomRight" activeCell="E1" sqref="E1:E1048576"/>
      <selection pane="bottomLeft" activeCell="A2" sqref="A2"/>
      <selection pane="topRight" activeCell="D1" sqref="D1"/>
    </sheetView>
  </sheetViews>
  <sheetFormatPr baseColWidth="8" defaultColWidth="8.7109375" defaultRowHeight="15"/>
  <cols>
    <col width="8" customWidth="1" min="1" max="1"/>
    <col width="18" customWidth="1" min="2" max="2"/>
    <col width="36" customWidth="1" min="3" max="3"/>
    <col width="21.7109375" customWidth="1" min="4" max="4"/>
    <col width="28" customWidth="1" min="5" max="5"/>
    <col width="42" customWidth="1" min="6" max="6"/>
    <col width="50" customWidth="1" min="7" max="7"/>
    <col width="15.7109375" customWidth="1" min="8" max="8"/>
    <col width="17.140625" customWidth="1" min="9" max="9"/>
    <col width="21.140625" customWidth="1" min="10" max="10"/>
    <col width="45" customWidth="1" min="11" max="11"/>
  </cols>
  <sheetData>
    <row r="1" ht="31.5" customHeight="1">
      <c r="A1" s="1" t="inlineStr">
        <is>
          <t>Task ID</t>
        </is>
      </c>
      <c r="B1" s="1" t="inlineStr">
        <is>
          <t>Category</t>
        </is>
      </c>
      <c r="C1" s="1" t="inlineStr">
        <is>
          <t>Task</t>
        </is>
      </c>
      <c r="D1" s="1" t="inlineStr">
        <is>
          <t>Mode</t>
        </is>
      </c>
      <c r="E1" s="1" t="inlineStr">
        <is>
          <t>Spec Ref</t>
        </is>
      </c>
      <c r="F1" s="1" t="inlineStr">
        <is>
          <t>Spec Quote (Original Japanese)</t>
        </is>
      </c>
      <c r="G1" s="1" t="inlineStr">
        <is>
          <t>Context / Note (English)</t>
        </is>
      </c>
      <c r="H1" s="1" t="inlineStr">
        <is>
          <t>Min (hrs)</t>
        </is>
      </c>
      <c r="I1" s="1" t="inlineStr">
        <is>
          <t>Likely (hrs)</t>
        </is>
      </c>
      <c r="J1" s="1" t="inlineStr">
        <is>
          <t>Max (hrs)</t>
        </is>
      </c>
      <c r="K1" s="1" t="inlineStr">
        <is>
          <t>Engineer Comments</t>
        </is>
      </c>
      <c r="L1" s="1" t="inlineStr">
        <is>
          <t>Scope</t>
        </is>
      </c>
    </row>
    <row r="2" ht="94.5" customHeight="1">
      <c r="A2" s="2" t="inlineStr">
        <is>
          <t>2.6</t>
        </is>
      </c>
      <c r="B2" s="2" t="inlineStr">
        <is>
          <t>Requirements</t>
        </is>
      </c>
      <c r="C2" s="2" t="inlineStr">
        <is>
          <t>Reservation system integration design</t>
        </is>
      </c>
      <c r="D2" s="3" t="inlineStr">
        <is>
          <t>Detailed</t>
        </is>
      </c>
      <c r="E2" s="2" t="inlineStr">
        <is>
          <t>8(2)オ</t>
        </is>
      </c>
      <c r="F2" s="4" t="inlineStr">
        <is>
          <t>予約システムについては、現行システムを継続利用するものとする。</t>
        </is>
      </c>
      <c r="G2" s="2" t="inlineStr">
        <is>
          <t>Client reservation system details unknown (awaiting answer). Estimate per scenario: (a) external link only, (b) iframe embed, (c) API integration.</t>
        </is>
      </c>
      <c r="H2" s="5" t="n">
        <v>1</v>
      </c>
      <c r="I2" s="5" t="n">
        <v>2</v>
      </c>
      <c r="J2" s="5" t="n">
        <v>4</v>
      </c>
      <c r="K2" s="6" t="inlineStr">
        <is>
          <t>Existing reservation system is reused, not rebuilt - we just connect to it. AWAITING CLIENT on the method. Estimate assumes embedding it in a page (iframe) = 3/6/12h. A simple link = 1/2/4h; full API integration = 16/40/80h.  ||  [QA#23] AirRESERVE, link-only integration, no fee -&gt; reduced to link scenario.</t>
        </is>
      </c>
      <c r="L2" s="2" t="inlineStr">
        <is>
          <t>Must-Do</t>
        </is>
      </c>
    </row>
    <row r="3" ht="94.5" customHeight="1">
      <c r="A3" s="2" t="inlineStr">
        <is>
          <t>3.4</t>
        </is>
      </c>
      <c r="B3" s="2" t="inlineStr">
        <is>
          <t>Design</t>
        </is>
      </c>
      <c r="C3" s="2" t="inlineStr">
        <is>
          <t>System design docs (overview/basic/detail)</t>
        </is>
      </c>
      <c r="D3" s="3" t="inlineStr">
        <is>
          <t>Detailed</t>
        </is>
      </c>
      <c r="E3" s="2" t="inlineStr">
        <is>
          <t>12(1) No.5</t>
        </is>
      </c>
      <c r="F3" s="4" t="inlineStr">
        <is>
          <t>概要設計、基本設計、詳細設計等の各種システム構築に際して行う設計をまとめた資料</t>
        </is>
      </c>
      <c r="G3" s="2" t="inlineStr">
        <is>
          <t>Three-level design documentation required for public sector project. Estimate based on standard delivery level.</t>
        </is>
      </c>
      <c r="H3" s="5" t="n">
        <v>16</v>
      </c>
      <c r="I3" s="5" t="n">
        <v>32</v>
      </c>
      <c r="J3" s="5" t="n">
        <v>60</v>
      </c>
      <c r="K3" s="6" t="inlineStr">
        <is>
          <t>Three-level system design documents - overview, basic and detailed (概要・基本・詳細設計). Deliverable No.5. The related requirements document (要件定義書, No.3) and operation-flow document (運用フロー定義書, No.4) are in row ADD.2.</t>
        </is>
      </c>
      <c r="L3" s="2" t="inlineStr">
        <is>
          <t>Must-Do</t>
        </is>
      </c>
    </row>
    <row r="4" ht="94.5" customHeight="1">
      <c r="A4" s="2" t="inlineStr">
        <is>
          <t>3.6</t>
        </is>
      </c>
      <c r="B4" s="2" t="inlineStr">
        <is>
          <t>Design</t>
        </is>
      </c>
      <c r="C4" s="2" t="inlineStr">
        <is>
          <t>Server architecture / network design</t>
        </is>
      </c>
      <c r="D4" s="3" t="inlineStr">
        <is>
          <t>Detailed</t>
        </is>
      </c>
      <c r="E4" s="2" t="inlineStr">
        <is>
          <t>5(3), 別記1</t>
        </is>
      </c>
      <c r="F4" s="4" t="inlineStr">
        <is>
          <t>サイト運営に必要なサーバ(容量その他サイト運営に必要なスペックを考慮したものとする。)は受託者において確保し、必要な初期設定を行うこと。</t>
        </is>
      </c>
      <c r="G4" s="2" t="inlineStr">
        <is>
          <t>AWAITING CLIENT ANSWER. Estimate per scenario: (a) prefecture shared infrastructure, (b) external rental server.</t>
        </is>
      </c>
      <c r="H4" s="5" t="n">
        <v>8</v>
      </c>
      <c r="I4" s="5" t="n">
        <v>16</v>
      </c>
      <c r="J4" s="5" t="n">
        <v>32</v>
      </c>
      <c r="K4" s="6" t="inlineStr">
        <is>
          <t>Server and network design. AWAITING CLIENT on hosting (see 7.1). Estimate assumes the prefecture's shared servers = 4/8/16h. An external rental server would be 8/16/32h.  ||  [QA#14/#16] Dedicated server (independent resources, VPS/cloud), not shared host -&gt; external scenario.</t>
        </is>
      </c>
      <c r="L4" s="2" t="inlineStr">
        <is>
          <t>Must-Do</t>
        </is>
      </c>
    </row>
    <row r="5" ht="94.5" customHeight="1">
      <c r="A5" s="2" t="inlineStr">
        <is>
          <t>4.1</t>
        </is>
      </c>
      <c r="B5" s="2" t="inlineStr">
        <is>
          <t>Design (Visual)</t>
        </is>
      </c>
      <c r="C5" s="2" t="inlineStr">
        <is>
          <t>Design concept / tone definition</t>
        </is>
      </c>
      <c r="D5" s="3" t="inlineStr">
        <is>
          <t>Detailed</t>
        </is>
      </c>
      <c r="E5" s="2" t="inlineStr">
        <is>
          <t>8(2)ア</t>
        </is>
      </c>
      <c r="F5" s="4" t="inlineStr">
        <is>
          <t>甲が提供するもののほか、独自のイラストや写真を使用し、ビジュアルで分かりやすいものとすること。</t>
        </is>
      </c>
      <c r="G5" s="2" t="inlineStr">
        <is>
          <t>Concept definition for museum site. Reference current site (https://www.muse.pref.tochigi.lg.jp/) which is dated. New direction needed.</t>
        </is>
      </c>
      <c r="H5" s="5" t="n">
        <v>8</v>
      </c>
      <c r="I5" s="5" t="n">
        <v>16</v>
      </c>
      <c r="J5" s="5" t="n">
        <v>32</v>
      </c>
      <c r="K5" s="6" t="inlineStr">
        <is>
          <t>Define the visual concept and tone (1-2 directions plus revisions). The current site looks dated, so a fresh direction is needed.</t>
        </is>
      </c>
      <c r="L5" s="2" t="inlineStr">
        <is>
          <t>Must-Do</t>
        </is>
      </c>
    </row>
    <row r="6" ht="94.5" customHeight="1">
      <c r="A6" s="2" t="inlineStr">
        <is>
          <t>4.2</t>
        </is>
      </c>
      <c r="B6" s="2" t="inlineStr">
        <is>
          <t>Design (Visual)</t>
        </is>
      </c>
      <c r="C6" s="2" t="inlineStr">
        <is>
          <t>Design comp - top page</t>
        </is>
      </c>
      <c r="D6" s="3" t="inlineStr">
        <is>
          <t>Detailed</t>
        </is>
      </c>
      <c r="E6" s="2" t="inlineStr">
        <is>
          <t>8(2)ウ</t>
        </is>
      </c>
      <c r="F6" s="4" t="inlineStr">
        <is>
          <t>新サイトの全体設計、ページデザインやレイアウトの作成</t>
        </is>
      </c>
      <c r="G6" s="2" t="inlineStr">
        <is>
          <t>Top page is heaviest weighted in evaluation (20 points). Include revision rounds in estimate.</t>
        </is>
      </c>
      <c r="H6" s="5" t="n">
        <v>16</v>
      </c>
      <c r="I6" s="5" t="n">
        <v>28</v>
      </c>
      <c r="J6" s="5" t="n">
        <v>50</v>
      </c>
      <c r="K6" s="6" t="inlineStr">
        <is>
          <t>Design the top-page mockup - the highest-weighted page in the bid scoring; includes 2-3 revision rounds. The site structure document and wireframes (新サイト構造設計書, Deliverables No.6 / No.13) are in row ADD.2.</t>
        </is>
      </c>
      <c r="L6" s="2" t="inlineStr">
        <is>
          <t>Must-Do</t>
        </is>
      </c>
    </row>
    <row r="7" ht="94.5" customHeight="1">
      <c r="A7" s="2" t="inlineStr">
        <is>
          <t>4.3</t>
        </is>
      </c>
      <c r="B7" s="2" t="inlineStr">
        <is>
          <t>Design (Visual)</t>
        </is>
      </c>
      <c r="C7" s="2" t="inlineStr">
        <is>
          <t>Design comps - lower-level templates</t>
        </is>
      </c>
      <c r="D7" s="3" t="inlineStr">
        <is>
          <t>Detailed</t>
        </is>
      </c>
      <c r="E7" s="2" t="inlineStr">
        <is>
          <t>8(2)ウ</t>
        </is>
      </c>
      <c r="F7" s="4" t="inlineStr">
        <is>
          <t>新サイトの全体設計、ページデザインやレイアウトの作成</t>
        </is>
      </c>
      <c r="G7" s="2" t="inlineStr">
        <is>
          <t>Likely 3-5 template patterns: listing, detail article, info page, form page, event special page. Estimate per pattern.</t>
        </is>
      </c>
      <c r="H7" s="5" t="n">
        <v>24</v>
      </c>
      <c r="I7" s="5" t="n">
        <v>40</v>
      </c>
      <c r="J7" s="5" t="n">
        <v>70</v>
      </c>
      <c r="K7" s="6" t="inlineStr">
        <is>
          <t>Design mockups for the lower-level page templates (about 5 patterns: listing, article, info, form, event), roughly 8-12h each plus revisions.  ||  [QA#28] Single shared template reused for all 企画展/テーマ展 special pages -&gt; caps Max.</t>
        </is>
      </c>
      <c r="L7" s="2" t="inlineStr">
        <is>
          <t>Must-Do</t>
        </is>
      </c>
    </row>
    <row r="8" ht="94.5" customHeight="1">
      <c r="A8" s="2" t="inlineStr">
        <is>
          <t>4.4</t>
        </is>
      </c>
      <c r="B8" s="2" t="inlineStr">
        <is>
          <t>Design (Visual)</t>
        </is>
      </c>
      <c r="C8" s="2" t="inlineStr">
        <is>
          <t>Original illustration creation</t>
        </is>
      </c>
      <c r="D8" s="3" t="inlineStr">
        <is>
          <t>Detailed</t>
        </is>
      </c>
      <c r="E8" s="2" t="inlineStr">
        <is>
          <t>8(2)ア</t>
        </is>
      </c>
      <c r="F8" s="4" t="inlineStr">
        <is>
          <t>甲が提供するもののほか、独自のイラストや写真を使用し、ビジュアルで分かりやすいものとすること。</t>
        </is>
      </c>
      <c r="G8" s="2" t="inlineStr">
        <is>
          <t>Quantity TBD. Estimate per piece for simple icon style vs detailed illustration.</t>
        </is>
      </c>
      <c r="H8" s="5" t="n">
        <v>8</v>
      </c>
      <c r="I8" s="5" t="n">
        <v>24</v>
      </c>
      <c r="J8" s="5" t="n">
        <v>60</v>
      </c>
      <c r="K8" s="6" t="inlineStr">
        <is>
          <t>Create original illustrations. Quantity not yet decided - please confirm. Roughly 1-2h for a simple icon, 6-10h for a detailed illustration.  ||  [QA#5] AI-generated images PROHIBITED. [QA#4/#6] Royalty-free stock OK only if rights transfer to client; museum provides existing assets -&gt; hand-drawn/licensed only, keep mid/high.</t>
        </is>
      </c>
      <c r="L8" s="2" t="inlineStr">
        <is>
          <t>Must-Do</t>
        </is>
      </c>
    </row>
    <row r="9" ht="94.5" customHeight="1">
      <c r="A9" s="2" t="inlineStr">
        <is>
          <t>4.5</t>
        </is>
      </c>
      <c r="B9" s="2" t="inlineStr">
        <is>
          <t>Design (Visual)</t>
        </is>
      </c>
      <c r="C9" s="2" t="inlineStr">
        <is>
          <t>Original photography / stock acquisition</t>
        </is>
      </c>
      <c r="D9" s="3" t="inlineStr">
        <is>
          <t>Detailed</t>
        </is>
      </c>
      <c r="E9" s="2" t="inlineStr">
        <is>
          <t>8(2)ア</t>
        </is>
      </c>
      <c r="F9" s="4" t="inlineStr">
        <is>
          <t>甲が提供するもののほか、独自のイラストや写真を使用し、ビジュアルで分かりやすいものとすること。</t>
        </is>
      </c>
      <c r="G9" s="2" t="inlineStr">
        <is>
          <t>Either dispatch photographer to Utsunomiya, or curate stock images. Estimate both scenarios.</t>
        </is>
      </c>
      <c r="H9" s="5" t="n">
        <v>4</v>
      </c>
      <c r="I9" s="5" t="n">
        <v>10</v>
      </c>
      <c r="J9" s="5" t="n">
        <v>20</v>
      </c>
      <c r="K9" s="6" t="inlineStr">
        <is>
          <t>Source original photos. Our choice of approach. Estimate assumes curating stock images = 4/10/20h. Sending a photographer on-site (travel + shoot + editing) would be 16/24/40h.  ||  [QA#6] Museum provides existing photos and will cooperate with a shoot -&gt; stock/curation baseline holds.</t>
        </is>
      </c>
      <c r="L9" s="2" t="inlineStr">
        <is>
          <t>Must-Do</t>
        </is>
      </c>
    </row>
    <row r="10" ht="94.5" customHeight="1">
      <c r="A10" s="2" t="inlineStr">
        <is>
          <t>4.6</t>
        </is>
      </c>
      <c r="B10" s="2" t="inlineStr">
        <is>
          <t>Design (Visual)</t>
        </is>
      </c>
      <c r="C10" s="2" t="inlineStr">
        <is>
          <t>Accessibility-aware design</t>
        </is>
      </c>
      <c r="D10" s="3" t="inlineStr">
        <is>
          <t>Detailed</t>
        </is>
      </c>
      <c r="E10" s="2" t="inlineStr">
        <is>
          <t>5(1)キ(ウ)</t>
        </is>
      </c>
      <c r="F10" s="4" t="inlineStr">
        <is>
          <t>個人情報保護に関する法律及び JIS X 8341-3 に準拠した仕様とし、文字の視認性、色使い、画像の代替テキストへの配慮を行うこと。</t>
        </is>
      </c>
      <c r="G10" s="2" t="inlineStr">
        <is>
          <t>AWAITING CLIENT ANSWER. Estimate per scenario: (a) Level A only, (b) Level AA. Includes color contrast, focus states, alt text strategy.</t>
        </is>
      </c>
      <c r="H10" s="5" t="n">
        <v>5</v>
      </c>
      <c r="I10" s="5" t="n">
        <v>11</v>
      </c>
      <c r="J10" s="5" t="n">
        <v>22</v>
      </c>
      <c r="K10" s="6" t="inlineStr">
        <is>
          <t>Make the visual design accessible (color contrast, focus states, alt-text plan). AWAITING CLIENT on the required level. Estimate assumes the stricter Level AA = 6/14/28h. Basic Level A would be 4/8/16h.  ||  [QA#12] Level A baseline + AA on key pages (top/guide/access), no 3rd-party test -&gt; between A and AA.</t>
        </is>
      </c>
      <c r="L10" s="2" t="inlineStr">
        <is>
          <t>Must-Do</t>
        </is>
      </c>
    </row>
    <row r="11" ht="94.5" customHeight="1">
      <c r="A11" s="2" t="inlineStr">
        <is>
          <t>5.1</t>
        </is>
      </c>
      <c r="B11" s="2" t="inlineStr">
        <is>
          <t>Frontend</t>
        </is>
      </c>
      <c r="C11" s="2" t="inlineStr">
        <is>
          <t>Development environment setup</t>
        </is>
      </c>
      <c r="D11" s="7" t="inlineStr">
        <is>
          <t>Quick</t>
        </is>
      </c>
      <c r="E11" s="2" t="inlineStr">
        <is>
          <t>5(1)ア</t>
        </is>
      </c>
      <c r="F11" s="4" t="inlineStr">
        <is>
          <t>受託者において開発環境を用意すること。</t>
        </is>
      </c>
      <c r="G11" s="2" t="inlineStr">
        <is>
          <t>Standard dev environment setup (Docker/local LAMP/etc.). Just give a rough number.</t>
        </is>
      </c>
      <c r="H11" s="5" t="n">
        <v>2</v>
      </c>
      <c r="I11" s="5" t="n">
        <v>4</v>
      </c>
      <c r="J11" s="5" t="n">
        <v>8</v>
      </c>
      <c r="K11" s="6" t="inlineStr">
        <is>
          <t>Set up the local development environment (standard).</t>
        </is>
      </c>
      <c r="L11" s="2" t="inlineStr">
        <is>
          <t>Must-Do</t>
        </is>
      </c>
    </row>
    <row r="12" ht="94.5" customHeight="1">
      <c r="A12" s="2" t="inlineStr">
        <is>
          <t>5.2</t>
        </is>
      </c>
      <c r="B12" s="2" t="inlineStr">
        <is>
          <t>Frontend</t>
        </is>
      </c>
      <c r="C12" s="2" t="inlineStr">
        <is>
          <t>HTML/CSS common components</t>
        </is>
      </c>
      <c r="D12" s="7" t="inlineStr">
        <is>
          <t>Quick</t>
        </is>
      </c>
      <c r="E12" s="2" t="inlineStr">
        <is>
          <t>5(1)キ(イ)</t>
        </is>
      </c>
      <c r="F12" s="4" t="inlineStr">
        <is>
          <t>新サイトは、HTML、CSS、JavaScript、PHP など、要件全てを満たす技術を用いて制作すること。</t>
        </is>
      </c>
      <c r="G12" s="2" t="inlineStr">
        <is>
          <t>Header, footer, global nav, breadcrumbs. Standard work, rough number is fine.</t>
        </is>
      </c>
      <c r="H12" s="5" t="n">
        <v>8</v>
      </c>
      <c r="I12" s="5" t="n">
        <v>16</v>
      </c>
      <c r="J12" s="5" t="n">
        <v>28</v>
      </c>
      <c r="K12" s="6" t="inlineStr">
        <is>
          <t>Build the shared page parts: header, footer, main navigation, breadcrumbs.</t>
        </is>
      </c>
      <c r="L12" s="2" t="inlineStr">
        <is>
          <t>Must-Do</t>
        </is>
      </c>
    </row>
    <row r="13" ht="94.5" customHeight="1">
      <c r="A13" s="2" t="inlineStr">
        <is>
          <t>5.3</t>
        </is>
      </c>
      <c r="B13" s="2" t="inlineStr">
        <is>
          <t>Frontend</t>
        </is>
      </c>
      <c r="C13" s="2" t="inlineStr">
        <is>
          <t>Top page coding</t>
        </is>
      </c>
      <c r="D13" s="7" t="inlineStr">
        <is>
          <t>Quick</t>
        </is>
      </c>
      <c r="E13" s="2" t="inlineStr">
        <is>
          <t>5(1)キ</t>
        </is>
      </c>
      <c r="F13" s="4" t="inlineStr">
        <is>
          <t>新サイトは、HTML、CSS、JavaScript、PHP など、要件全てを満たす技術を用いて制作すること。</t>
        </is>
      </c>
      <c r="G13" s="2" t="inlineStr">
        <is>
          <t>Includes opening calendar widget and slider/banner section.</t>
        </is>
      </c>
      <c r="H13" s="5" t="n">
        <v>8</v>
      </c>
      <c r="I13" s="5" t="n">
        <v>16</v>
      </c>
      <c r="J13" s="5" t="n">
        <v>28</v>
      </c>
      <c r="K13" s="6" t="inlineStr">
        <is>
          <t>Code the top page, including the opening-hours calendar widget and the slider / banner area.</t>
        </is>
      </c>
      <c r="L13" s="2" t="inlineStr">
        <is>
          <t>Must-Do</t>
        </is>
      </c>
    </row>
    <row r="14" ht="94.5" customHeight="1">
      <c r="A14" s="2" t="inlineStr">
        <is>
          <t>5.4</t>
        </is>
      </c>
      <c r="B14" s="2" t="inlineStr">
        <is>
          <t>Frontend</t>
        </is>
      </c>
      <c r="C14" s="2" t="inlineStr">
        <is>
          <t>Lower-level page template implementation</t>
        </is>
      </c>
      <c r="D14" s="3" t="inlineStr">
        <is>
          <t>Detailed</t>
        </is>
      </c>
      <c r="E14" s="2" t="inlineStr">
        <is>
          <t>8(1)エ</t>
        </is>
      </c>
      <c r="F14" s="4" t="inlineStr">
        <is>
          <t>新サイトにおいて必要なページを新規作成すること。</t>
        </is>
      </c>
      <c r="G14" s="2" t="inlineStr">
        <is>
          <t>Template patterns to be defined in design phase (likely 5-10). Estimate per-template implementation time.</t>
        </is>
      </c>
      <c r="H14" s="5" t="n">
        <v>24</v>
      </c>
      <c r="I14" s="5" t="n">
        <v>48</v>
      </c>
      <c r="J14" s="5" t="n">
        <v>90</v>
      </c>
      <c r="K14" s="6" t="inlineStr">
        <is>
          <t>Code the lower-level page templates (about 5-10 of them), roughly 6-10h each. This is the page templates; the underlying theme framework is 6.2 - don't count twice.  ||  [QA#28] Exhibition special pages use one common template -&gt; caps Max.</t>
        </is>
      </c>
      <c r="L14" s="2" t="inlineStr">
        <is>
          <t>Must-Do</t>
        </is>
      </c>
    </row>
    <row r="15" ht="94.5" customHeight="1">
      <c r="A15" s="2" t="inlineStr">
        <is>
          <t>5.5</t>
        </is>
      </c>
      <c r="B15" s="2" t="inlineStr">
        <is>
          <t>Frontend</t>
        </is>
      </c>
      <c r="C15" s="2" t="inlineStr">
        <is>
          <t>Responsive design implementation</t>
        </is>
      </c>
      <c r="D15" s="7" t="inlineStr">
        <is>
          <t>Quick</t>
        </is>
      </c>
      <c r="E15" s="2" t="inlineStr">
        <is>
          <t>5(1)キ(ア)</t>
        </is>
      </c>
      <c r="F15" s="4" t="inlineStr">
        <is>
          <t>新サイトは、PC、スマートフォン及びタブレットで閲覧されることを前提に、レスポンシブウェブデザインで設計すること。</t>
        </is>
      </c>
      <c r="G15" s="2" t="inlineStr">
        <is>
          <t>PC / tablet / smartphone. Standard work, rough number.</t>
        </is>
      </c>
      <c r="H15" s="5" t="n">
        <v>8</v>
      </c>
      <c r="I15" s="5" t="n">
        <v>16</v>
      </c>
      <c r="J15" s="5" t="n">
        <v>32</v>
      </c>
      <c r="K15" s="6" t="inlineStr">
        <is>
          <t>Make every page responsive (works on PC, tablet, phone). Partly overlaps 5.2-5.4.</t>
        </is>
      </c>
      <c r="L15" s="2" t="inlineStr">
        <is>
          <t>Must-Do</t>
        </is>
      </c>
    </row>
    <row r="16" ht="94.5" customHeight="1">
      <c r="A16" s="2" t="inlineStr">
        <is>
          <t>5.6</t>
        </is>
      </c>
      <c r="B16" s="2" t="inlineStr">
        <is>
          <t>Frontend</t>
        </is>
      </c>
      <c r="C16" s="2" t="inlineStr">
        <is>
          <t>JavaScript interactive features</t>
        </is>
      </c>
      <c r="D16" s="3" t="inlineStr">
        <is>
          <t>Detailed</t>
        </is>
      </c>
      <c r="E16" s="2" t="inlineStr">
        <is>
          <t>5(1)キ(イ)</t>
        </is>
      </c>
      <c r="F16" s="4" t="inlineStr">
        <is>
          <t>新サイトは、HTML、CSS、JavaScript、PHP など、要件全てを満たす技術を用いて制作すること。</t>
        </is>
      </c>
      <c r="G16" s="2" t="inlineStr">
        <is>
          <t>Typical features: image carousel, modal galleries, opening calendar widget, accordion FAQ, in-page search. Quantity TBD.</t>
        </is>
      </c>
      <c r="H16" s="5" t="n">
        <v>12</v>
      </c>
      <c r="I16" s="5" t="n">
        <v>24</v>
      </c>
      <c r="J16" s="5" t="n">
        <v>50</v>
      </c>
      <c r="K16" s="6" t="inlineStr">
        <is>
          <t>Build interactive features: image carousel, pop-up galleries, calendar, FAQ accordion, in-page search. Quantity not yet fixed.</t>
        </is>
      </c>
      <c r="L16" s="2" t="inlineStr">
        <is>
          <t>Must-Do</t>
        </is>
      </c>
    </row>
    <row r="17" ht="94.5" customHeight="1">
      <c r="A17" s="2" t="inlineStr">
        <is>
          <t>5.7</t>
        </is>
      </c>
      <c r="B17" s="2" t="inlineStr">
        <is>
          <t>Frontend</t>
        </is>
      </c>
      <c r="C17" s="2" t="inlineStr">
        <is>
          <t>JIS X 8341-3 accessibility compliance</t>
        </is>
      </c>
      <c r="D17" s="3" t="inlineStr">
        <is>
          <t>Detailed</t>
        </is>
      </c>
      <c r="E17" s="2" t="inlineStr">
        <is>
          <t>5(1)キ(ウ)</t>
        </is>
      </c>
      <c r="F17" s="4" t="inlineStr">
        <is>
          <t>個人情報保護に関する法律及び JIS X 8341-3 に準拠した仕様とし、文字の視認性、色使い、画像の代替テキストへの配慮を行うこと。</t>
        </is>
      </c>
      <c r="G17" s="2" t="inlineStr">
        <is>
          <t>AWAITING CLIENT ANSWER. JIS X 8341-3 ~= WCAG. Estimate per scenario: (a) Level A only, (b) Level AA.</t>
        </is>
      </c>
      <c r="H17" s="5" t="n">
        <v>10</v>
      </c>
      <c r="I17" s="5" t="n">
        <v>22</v>
      </c>
      <c r="J17" s="5" t="n">
        <v>46</v>
      </c>
      <c r="K17" s="6" t="inlineStr">
        <is>
          <t>Make the built site meet JIS X 8341-3 accessibility (keyboard use, screen-reader labels, fixes). AWAITING CLIENT on the level. Estimate assumes Level AA = 12/28/60h. Basic Level A would be 8/16/32h.  ||  [QA#12] Mixed A + AA-on-key-pages accepted -&gt; reduced from full-AA assumption.</t>
        </is>
      </c>
      <c r="L17" s="2" t="inlineStr">
        <is>
          <t>Must-Do</t>
        </is>
      </c>
    </row>
    <row r="18" ht="94.5" customHeight="1">
      <c r="A18" s="2" t="inlineStr">
        <is>
          <t>5.8</t>
        </is>
      </c>
      <c r="B18" s="2" t="inlineStr">
        <is>
          <t>Frontend</t>
        </is>
      </c>
      <c r="C18" s="2" t="inlineStr">
        <is>
          <t>Browser translation optimization</t>
        </is>
      </c>
      <c r="D18" s="3" t="inlineStr">
        <is>
          <t>Detailed</t>
        </is>
      </c>
      <c r="E18" s="2" t="inlineStr">
        <is>
          <t>8(2)ア</t>
        </is>
      </c>
      <c r="F18" s="4" t="inlineStr">
        <is>
          <t>効果的かつ経済的に外国人向け情報発信を行うため、ブラウザによる多言語(英語及び中国語(繁体字及び簡体字))翻訳機能が最大限有効に働くよう留意すること。</t>
        </is>
      </c>
      <c r="G18" s="2" t="inlineStr">
        <is>
          <t>Not translation itself. Structure work for Google Translate / browser auto-translate to work well: lang attributes, hreflang, semantic HTML, avoid text-in-image.</t>
        </is>
      </c>
      <c r="H18" s="5" t="n">
        <v>4</v>
      </c>
      <c r="I18" s="5" t="n">
        <v>10</v>
      </c>
      <c r="J18" s="5" t="n">
        <v>24</v>
      </c>
      <c r="K18" s="6" t="inlineStr">
        <is>
          <t>Structure pages so browsers auto-translate them well (language tags, clean HTML, no text baked into images). This is not human translation.  ||  [QA#21] Confirmed: browser auto-translate only, no EN/ZH content creation; legacy EN pages retired -&gt; structure-only.</t>
        </is>
      </c>
      <c r="L18" s="2" t="inlineStr">
        <is>
          <t>Must-Do</t>
        </is>
      </c>
    </row>
    <row r="19" ht="94.5" customHeight="1">
      <c r="A19" s="2" t="inlineStr">
        <is>
          <t>6.1</t>
        </is>
      </c>
      <c r="B19" s="2" t="inlineStr">
        <is>
          <t>CMS (WordPress)</t>
        </is>
      </c>
      <c r="C19" s="2" t="inlineStr">
        <is>
          <t>WordPress install / initial setup</t>
        </is>
      </c>
      <c r="D19" s="7" t="inlineStr">
        <is>
          <t>Quick</t>
        </is>
      </c>
      <c r="E19" s="2" t="inlineStr">
        <is>
          <t>6</t>
        </is>
      </c>
      <c r="F19" s="4" t="inlineStr">
        <is>
          <t>導入する CMS は WordPress とする。</t>
        </is>
      </c>
      <c r="G19" s="2" t="inlineStr">
        <is>
          <t>Standard WP install + initial security/permalink/theme switch setup. Rough number.</t>
        </is>
      </c>
      <c r="H19" s="5" t="n">
        <v>2</v>
      </c>
      <c r="I19" s="5" t="n">
        <v>4</v>
      </c>
      <c r="J19" s="5" t="n">
        <v>8</v>
      </c>
      <c r="K19" s="6" t="inlineStr">
        <is>
          <t>Install WordPress and do the base setup (URLs, security, starter config).</t>
        </is>
      </c>
      <c r="L19" s="2" t="inlineStr">
        <is>
          <t>Must-Do</t>
        </is>
      </c>
    </row>
    <row r="20" ht="94.5" customHeight="1">
      <c r="A20" s="2" t="inlineStr">
        <is>
          <t>6.2</t>
        </is>
      </c>
      <c r="B20" s="2" t="inlineStr">
        <is>
          <t>CMS (WordPress)</t>
        </is>
      </c>
      <c r="C20" s="2" t="inlineStr">
        <is>
          <t>Custom theme development</t>
        </is>
      </c>
      <c r="D20" s="3" t="inlineStr">
        <is>
          <t>Detailed</t>
        </is>
      </c>
      <c r="E20" s="2" t="inlineStr">
        <is>
          <t>6</t>
        </is>
      </c>
      <c r="F20" s="4" t="inlineStr">
        <is>
          <t>導入する CMS は WordPress とする。なお、最新の情報を迅速に提供するため、甲と協議の上、サイト運営の専門的な知識がない人でも情報更新を行うことができるようにすること。</t>
        </is>
      </c>
      <c r="G20" s="2" t="inlineStr">
        <is>
          <t>Estimate per scenario: (a) from-scratch custom theme, (b) starter theme (Sage/Underscores) customization.</t>
        </is>
      </c>
      <c r="H20" s="5" t="n">
        <v>16</v>
      </c>
      <c r="I20" s="5" t="n">
        <v>32</v>
      </c>
      <c r="J20" s="5" t="n">
        <v>60</v>
      </c>
      <c r="K20" s="6" t="inlineStr">
        <is>
          <t>Build the custom WordPress theme. Our choice of approach. Estimate assumes starting from a base theme = 16/32/60h. Fully from scratch would be 24/48/80h. This is the theme framework; the page templates are 5.4.  ||  [QA#19] CMS fixed to WordPress.</t>
        </is>
      </c>
      <c r="L20" s="2" t="inlineStr">
        <is>
          <t>Must-Do</t>
        </is>
      </c>
    </row>
    <row r="21" ht="94.5" customHeight="1">
      <c r="A21" s="2" t="inlineStr">
        <is>
          <t>6.3</t>
        </is>
      </c>
      <c r="B21" s="2" t="inlineStr">
        <is>
          <t>CMS (WordPress)</t>
        </is>
      </c>
      <c r="C21" s="2" t="inlineStr">
        <is>
          <t>Custom post types design and implementation</t>
        </is>
      </c>
      <c r="D21" s="3" t="inlineStr">
        <is>
          <t>Detailed</t>
        </is>
      </c>
      <c r="E21" s="2" t="inlineStr">
        <is>
          <t>6, 別紙</t>
        </is>
      </c>
      <c r="F21" s="4" t="inlineStr">
        <is>
          <t>別紙『新サイトマップ案』のうち、更新機能有として明記するページについては、情報の鮮度が重要であることから、特にフレキシブルな情報更新が行えるよう配慮すること。</t>
        </is>
      </c>
      <c r="G21" s="2" t="inlineStr">
        <is>
          <t>Sitemap draft shows 4+ update-required content systems: news/blog, exhibitions, events, themed exhibitions. Estimate per post type including admin UI customization.</t>
        </is>
      </c>
      <c r="H21" s="5" t="n">
        <v>12</v>
      </c>
      <c r="I21" s="5" t="n">
        <v>24</v>
      </c>
      <c r="J21" s="5" t="n">
        <v>48</v>
      </c>
      <c r="K21" s="6" t="inlineStr">
        <is>
          <t>Set up the content types (news, exhibitions, events, themed exhibitions) and their categories. Migrating the existing content is row ADD.1.  ||  [QA#11] Post-launch content added by museum staff. [QA#18] CMS for non-update pages only if it serves project goal (propose).</t>
        </is>
      </c>
      <c r="L21" s="2" t="inlineStr">
        <is>
          <t>Must-Do</t>
        </is>
      </c>
    </row>
    <row r="22" ht="94.5" customHeight="1">
      <c r="A22" s="2" t="inlineStr">
        <is>
          <t>6.4</t>
        </is>
      </c>
      <c r="B22" s="2" t="inlineStr">
        <is>
          <t>CMS (WordPress)</t>
        </is>
      </c>
      <c r="C22" s="2" t="inlineStr">
        <is>
          <t>Custom fields design and implementation</t>
        </is>
      </c>
      <c r="D22" s="3" t="inlineStr">
        <is>
          <t>Detailed</t>
        </is>
      </c>
      <c r="E22" s="2" t="inlineStr">
        <is>
          <t>6</t>
        </is>
      </c>
      <c r="F22" s="4" t="inlineStr">
        <is>
          <t>導入する CMS は WordPress とする。</t>
        </is>
      </c>
      <c r="G22" s="2" t="inlineStr">
        <is>
          <t>ACF Pro vs free vs hand-coded. Likely 5-10 fields per post type x 4-5 post types.</t>
        </is>
      </c>
      <c r="H22" s="5" t="n">
        <v>8</v>
      </c>
      <c r="I22" s="5" t="n">
        <v>20</v>
      </c>
      <c r="J22" s="5" t="n">
        <v>40</v>
      </c>
      <c r="K22" s="6" t="inlineStr">
        <is>
          <t>Set up the custom input fields for each content type (assumes the ACF plugin; about 5-10 fields across 4-5 types).</t>
        </is>
      </c>
      <c r="L22" s="2" t="inlineStr">
        <is>
          <t>Must-Do</t>
        </is>
      </c>
    </row>
    <row r="23" ht="94.5" customHeight="1">
      <c r="A23" s="2" t="inlineStr">
        <is>
          <t>6.5</t>
        </is>
      </c>
      <c r="B23" s="2" t="inlineStr">
        <is>
          <t>CMS (WordPress)</t>
        </is>
      </c>
      <c r="C23" s="2" t="inlineStr">
        <is>
          <t>Plugin selection / installation / configuration</t>
        </is>
      </c>
      <c r="D23" s="3" t="inlineStr">
        <is>
          <t>Detailed</t>
        </is>
      </c>
      <c r="E23" s="2" t="inlineStr">
        <is>
          <t>6(1)</t>
        </is>
      </c>
      <c r="F23" s="4" t="inlineStr">
        <is>
          <t>導入するプラグインについては乙の提案に基づき甲と協議の上決定する。</t>
        </is>
      </c>
      <c r="G23" s="2" t="inlineStr">
        <is>
          <t>Required functions: SEO, security, backup, contact form, sitemap.xml, image optimization, caching. Research + setup + configuration.</t>
        </is>
      </c>
      <c r="H23" s="5" t="n">
        <v>6</v>
      </c>
      <c r="I23" s="5" t="n">
        <v>16</v>
      </c>
      <c r="J23" s="5" t="n">
        <v>32</v>
      </c>
      <c r="K23" s="6" t="inlineStr">
        <is>
          <t>Choose, install and configure plugins (SEO, security, backup, contact form, sitemap, image optimization, caching). The plugin list needs client approval.</t>
        </is>
      </c>
      <c r="L23" s="2" t="inlineStr">
        <is>
          <t>Must-Do</t>
        </is>
      </c>
    </row>
    <row r="24" ht="94.5" customHeight="1">
      <c r="A24" s="2" t="inlineStr">
        <is>
          <t>6.6</t>
        </is>
      </c>
      <c r="B24" s="2" t="inlineStr">
        <is>
          <t>CMS (WordPress)</t>
        </is>
      </c>
      <c r="C24" s="2" t="inlineStr">
        <is>
          <t>User role design (3 accounts)</t>
        </is>
      </c>
      <c r="D24" s="3" t="inlineStr">
        <is>
          <t>Detailed</t>
        </is>
      </c>
      <c r="E24" s="2" t="inlineStr">
        <is>
          <t>5(1)エ</t>
        </is>
      </c>
      <c r="F24" s="2" t="inlineStr">
        <is>
          <t>ID の発行数は３アカウント程度とする。ID の発行数及び各 ID の権限の設定については、業務開始後に甲及び乙による協議の上決定する。</t>
        </is>
      </c>
      <c r="G24" s="2" t="inlineStr">
        <is>
          <t>Likely admin / editor / contributor. May need custom capabilities per content type.</t>
        </is>
      </c>
      <c r="H24" s="5" t="n">
        <v>3</v>
      </c>
      <c r="I24" s="5" t="n">
        <v>8</v>
      </c>
      <c r="J24" s="5" t="n">
        <v>20</v>
      </c>
      <c r="K24" s="6" t="inlineStr">
        <is>
          <t>Set up the 3 user accounts and roles (admin, editor, contributor) with the right permissions per content type.</t>
        </is>
      </c>
      <c r="L24" s="2" t="inlineStr">
        <is>
          <t>Must-Do</t>
        </is>
      </c>
    </row>
    <row r="25" ht="94.5" customHeight="1">
      <c r="A25" s="2" t="inlineStr">
        <is>
          <t>6.7</t>
        </is>
      </c>
      <c r="B25" s="2" t="inlineStr">
        <is>
          <t>CMS (WordPress)</t>
        </is>
      </c>
      <c r="C25" s="2" t="inlineStr">
        <is>
          <t>Admin UI customization (non-tech users)</t>
        </is>
      </c>
      <c r="D25" s="3" t="inlineStr">
        <is>
          <t>Detailed</t>
        </is>
      </c>
      <c r="E25" s="2" t="inlineStr">
        <is>
          <t>6</t>
        </is>
      </c>
      <c r="F25" s="4" t="inlineStr">
        <is>
          <t>甲と協議の上、サイト運営の専門的な知識がない人でも情報更新を行うことができるようにすること。</t>
        </is>
      </c>
      <c r="G25" s="2" t="inlineStr">
        <is>
          <t>Hide unnecessary menus, custom dashboard widgets, simplified edit screens per role, custom Gutenberg blocks. Important for client satisfaction.</t>
        </is>
      </c>
      <c r="H25" s="5" t="n">
        <v>8</v>
      </c>
      <c r="I25" s="5" t="n">
        <v>20</v>
      </c>
      <c r="J25" s="5" t="n">
        <v>44</v>
      </c>
      <c r="K25" s="6" t="inlineStr">
        <is>
          <t>Simplify the WordPress admin for non-technical staff: hide unneeded menus, custom dashboard, simpler edit screens, easy content blocks. A big driver of client satisfaction.</t>
        </is>
      </c>
      <c r="L25" s="2" t="inlineStr">
        <is>
          <t>Must-Do</t>
        </is>
      </c>
    </row>
    <row r="26" ht="94.5" customHeight="1">
      <c r="A26" s="2" t="inlineStr">
        <is>
          <t>6.8</t>
        </is>
      </c>
      <c r="B26" s="2" t="inlineStr">
        <is>
          <t>CMS (WordPress)</t>
        </is>
      </c>
      <c r="C26" s="2" t="inlineStr">
        <is>
          <t>Flexible update functionality for key pages</t>
        </is>
      </c>
      <c r="D26" s="3" t="inlineStr">
        <is>
          <t>Detailed</t>
        </is>
      </c>
      <c r="E26" s="2" t="inlineStr">
        <is>
          <t>6</t>
        </is>
      </c>
      <c r="F26" s="4" t="inlineStr">
        <is>
          <t>別紙『新サイトマップ案』のうち、更新機能有として明記するページについては、情報の鮮度が重要であることから、特にフレキシブルな情報更新が行えるよう配慮すること。</t>
        </is>
      </c>
      <c r="G26" s="2" t="inlineStr">
        <is>
          <t>Beyond basic CRUD: scheduled publishing, draft preview, image library, reorderable content blocks. Applies to 4 update-required content systems.</t>
        </is>
      </c>
      <c r="H26" s="5" t="n">
        <v>8</v>
      </c>
      <c r="I26" s="5" t="n">
        <v>20</v>
      </c>
      <c r="J26" s="5" t="n">
        <v>40</v>
      </c>
      <c r="K26" s="6" t="inlineStr">
        <is>
          <t>Add flexible editing for the frequently-updated sections: scheduled publishing, draft preview, media library, drag-to-reorder. Applies to the 4 'update' content types.</t>
        </is>
      </c>
      <c r="L26" s="2" t="inlineStr">
        <is>
          <t>Must-Do</t>
        </is>
      </c>
    </row>
    <row r="27" ht="94.5" customHeight="1">
      <c r="A27" s="2" t="inlineStr">
        <is>
          <t>7.1</t>
        </is>
      </c>
      <c r="B27" s="2" t="inlineStr">
        <is>
          <t>Infrastructure</t>
        </is>
      </c>
      <c r="C27" s="2" t="inlineStr">
        <is>
          <t>Server selection / contract</t>
        </is>
      </c>
      <c r="D27" s="3" t="inlineStr">
        <is>
          <t>Detailed</t>
        </is>
      </c>
      <c r="E27" s="2" t="inlineStr">
        <is>
          <t>5(3), 別記1</t>
        </is>
      </c>
      <c r="F27" s="4" t="inlineStr">
        <is>
          <t>サイト運営に必要なサーバ(容量その他サイト運営に必要なスペックを考慮したものとする。)は受託者において確保し、必要な初期設定を行うこと。</t>
        </is>
      </c>
      <c r="G27" s="2" t="inlineStr">
        <is>
          <t>AWAITING CLIENT ANSWER. (a) prefecture shared infrastructure (application required), (b) external rental (Sakura/Xserver/AWS). Includes vendor research, comparison, contracting.</t>
        </is>
      </c>
      <c r="H27" s="5" t="n">
        <v>8</v>
      </c>
      <c r="I27" s="5" t="n">
        <v>16</v>
      </c>
      <c r="J27" s="5" t="n">
        <v>28</v>
      </c>
      <c r="K27" s="6" t="inlineStr">
        <is>
          <t>Choose and contract the server. AWAITING CLIENT on hosting type. Estimate assumes the prefecture's shared servers (apply + get approval) = 4/8/16h. Researching and contracting an external rental host would be 8/16/28h.  ||  [QA#16] Contractor selects &amp; contracts external dedicated server -&gt; external scenario.</t>
        </is>
      </c>
      <c r="L27" s="2" t="inlineStr">
        <is>
          <t>Must-Do</t>
        </is>
      </c>
    </row>
    <row r="28" ht="94.5" customHeight="1">
      <c r="A28" s="2" t="inlineStr">
        <is>
          <t>7.2</t>
        </is>
      </c>
      <c r="B28" s="2" t="inlineStr">
        <is>
          <t>Infrastructure</t>
        </is>
      </c>
      <c r="C28" s="2" t="inlineStr">
        <is>
          <t>Server initial setup / OS/MW install</t>
        </is>
      </c>
      <c r="D28" s="7" t="inlineStr">
        <is>
          <t>Quick</t>
        </is>
      </c>
      <c r="E28" s="2" t="inlineStr">
        <is>
          <t>5(3)ア</t>
        </is>
      </c>
      <c r="F28" s="4" t="inlineStr">
        <is>
          <t>確保したサーバについて、部外者からサイトを改ざんされないよう情報セキュリティ上必要な措置を講じること。</t>
        </is>
      </c>
      <c r="G28" s="2" t="inlineStr">
        <is>
          <t>Standard setup after server is procured. Rough number.</t>
        </is>
      </c>
      <c r="H28" s="5" t="n">
        <v>4</v>
      </c>
      <c r="I28" s="5" t="n">
        <v>8</v>
      </c>
      <c r="J28" s="5" t="n">
        <v>16</v>
      </c>
      <c r="K28" s="6" t="inlineStr">
        <is>
          <t>Set up the server once it's provided (OS, PHP, web server, base config).</t>
        </is>
      </c>
      <c r="L28" s="2" t="inlineStr">
        <is>
          <t>Must-Do</t>
        </is>
      </c>
    </row>
    <row r="29" ht="94.5" customHeight="1">
      <c r="A29" s="2" t="inlineStr">
        <is>
          <t>7.3</t>
        </is>
      </c>
      <c r="B29" s="2" t="inlineStr">
        <is>
          <t>Infrastructure</t>
        </is>
      </c>
      <c r="C29" s="2" t="inlineStr">
        <is>
          <t>Subdomain configuration</t>
        </is>
      </c>
      <c r="D29" s="3" t="inlineStr">
        <is>
          <t>Detailed</t>
        </is>
      </c>
      <c r="E29" s="4" t="inlineStr">
        <is>
          <t>別記1-1(2), 別記2-1(1)</t>
        </is>
      </c>
      <c r="F29" s="4" t="inlineStr">
        <is>
          <t>ドメインについて、原則として県のサブドメインを活用すること。</t>
        </is>
      </c>
      <c r="G29" s="2" t="inlineStr">
        <is>
          <t>Setup pref.tochigi.lg.jp subdomain. Current site URL: muse.pref.tochigi.lg.jp - migration of existing URL or new URL TBD. DNS coordination with prefecture IT dept.</t>
        </is>
      </c>
      <c r="H29" s="5" t="n">
        <v>2</v>
      </c>
      <c r="I29" s="5" t="n">
        <v>6</v>
      </c>
      <c r="J29" s="5" t="n">
        <v>16</v>
      </c>
      <c r="K29" s="6" t="inlineStr">
        <is>
          <t>Set up the prefecture subdomain and coordinate DNS with their IT team (their lead time is a risk).  ||  [QA#3] URL stays muse.pref.tochigi.lg.jp; DNS/subdomain/SSL all contractor responsibility.</t>
        </is>
      </c>
      <c r="L29" s="2" t="inlineStr">
        <is>
          <t>Must-Do</t>
        </is>
      </c>
    </row>
    <row r="30" ht="94.5" customHeight="1">
      <c r="A30" s="2" t="inlineStr">
        <is>
          <t>7.4</t>
        </is>
      </c>
      <c r="B30" s="2" t="inlineStr">
        <is>
          <t>Infrastructure</t>
        </is>
      </c>
      <c r="C30" s="2" t="inlineStr">
        <is>
          <t>SSL certificate acquisition / installation</t>
        </is>
      </c>
      <c r="D30" s="7" t="inlineStr">
        <is>
          <t>Quick</t>
        </is>
      </c>
      <c r="E30" s="2" t="inlineStr">
        <is>
          <t>5(3)カ, 別記1-1(3)</t>
        </is>
      </c>
      <c r="F30" s="4" t="inlineStr">
        <is>
          <t>ウェブサイト公開時は常時 SSL 化することとし、http 通信は https 通信にリダイレクトする等の対応を検討すること。</t>
        </is>
      </c>
      <c r="G30" s="2" t="inlineStr">
        <is>
          <t>Let's Encrypt or paid SSL. Standard work. Rough number.</t>
        </is>
      </c>
      <c r="H30" s="5" t="n">
        <v>2</v>
      </c>
      <c r="I30" s="5" t="n">
        <v>4</v>
      </c>
      <c r="J30" s="5" t="n">
        <v>10</v>
      </c>
      <c r="K30" s="6" t="inlineStr">
        <is>
          <t>Get and install the SSL certificate; set auto-renew; redirect http to https.</t>
        </is>
      </c>
      <c r="L30" s="2" t="inlineStr">
        <is>
          <t>Must-Do</t>
        </is>
      </c>
    </row>
    <row r="31" ht="94.5" customHeight="1">
      <c r="A31" s="2" t="inlineStr">
        <is>
          <t>7.5</t>
        </is>
      </c>
      <c r="B31" s="2" t="inlineStr">
        <is>
          <t>Infrastructure</t>
        </is>
      </c>
      <c r="C31" s="2" t="inlineStr">
        <is>
          <t>WAF/IDS/IPS security implementation</t>
        </is>
      </c>
      <c r="D31" s="3" t="inlineStr">
        <is>
          <t>Detailed</t>
        </is>
      </c>
      <c r="E31" s="4" t="inlineStr">
        <is>
          <t>別記1-2(7)</t>
        </is>
      </c>
      <c r="F31" s="4" t="inlineStr">
        <is>
          <t>公開ウェブサーバが利用する機能(利用者がサイト上で行う情報入力やファイルのアップロードの機能等)や公開する情報の性質等を踏まえ、適切なセキュリティ対策を検討の上、県に提示し承認を得た上で、確実に実装すること。</t>
        </is>
      </c>
      <c r="G31" s="2" t="inlineStr">
        <is>
          <t>DEPENDS ON 7.1 ANSWER. Prefecture infra = WAF/CDN provided. External = need to source (Cloudflare/AWS WAF/Sucuri).</t>
        </is>
      </c>
      <c r="H31" s="5" t="n">
        <v>8</v>
      </c>
      <c r="I31" s="5" t="n">
        <v>20</v>
      </c>
      <c r="J31" s="5" t="n">
        <v>40</v>
      </c>
      <c r="K31" s="6" t="inlineStr">
        <is>
          <t>Set up web security (firewall / WAF, etc.). Depends on 7.1. Estimate assumes the prefecture's shared infra provides WAF/CDN, so configuration only = 4/8/16h. Sourcing our own (Cloudflare / AWS) would be 8/20/40h.  ||  [QA#14] Must provide own WAF/security on dedicated server -&gt; own-WAF scenario.</t>
        </is>
      </c>
      <c r="L31" s="2" t="inlineStr">
        <is>
          <t>Must-Do</t>
        </is>
      </c>
    </row>
    <row r="32" ht="94.5" customHeight="1">
      <c r="A32" s="2" t="inlineStr">
        <is>
          <t>7.6</t>
        </is>
      </c>
      <c r="B32" s="2" t="inlineStr">
        <is>
          <t>Infrastructure</t>
        </is>
      </c>
      <c r="C32" s="2" t="inlineStr">
        <is>
          <t>Antivirus implementation</t>
        </is>
      </c>
      <c r="D32" s="7" t="inlineStr">
        <is>
          <t>Quick</t>
        </is>
      </c>
      <c r="E32" s="4" t="inlineStr">
        <is>
          <t>別記1-2(8)</t>
        </is>
      </c>
      <c r="F32" s="4" t="inlineStr">
        <is>
          <t>アンチウィルスソフトの導入及びその他ウイルス・不正プログラム等に対するセキュリティ対策を確実に実装すること。</t>
        </is>
      </c>
      <c r="G32" s="2" t="inlineStr">
        <is>
          <t>Standard antivirus implementation. Rough number.</t>
        </is>
      </c>
      <c r="H32" s="5" t="n">
        <v>2</v>
      </c>
      <c r="I32" s="5" t="n">
        <v>4</v>
      </c>
      <c r="J32" s="5" t="n">
        <v>10</v>
      </c>
      <c r="K32" s="6" t="inlineStr">
        <is>
          <t>Install antivirus / malware protection on the server.</t>
        </is>
      </c>
      <c r="L32" s="2" t="inlineStr">
        <is>
          <t>Must-Do</t>
        </is>
      </c>
    </row>
    <row r="33" ht="94.5" customHeight="1">
      <c r="A33" s="2" t="inlineStr">
        <is>
          <t>7.7</t>
        </is>
      </c>
      <c r="B33" s="2" t="inlineStr">
        <is>
          <t>Infrastructure</t>
        </is>
      </c>
      <c r="C33" s="2" t="inlineStr">
        <is>
          <t>Uptime monitoring setup</t>
        </is>
      </c>
      <c r="D33" s="3" t="inlineStr">
        <is>
          <t>Detailed</t>
        </is>
      </c>
      <c r="E33" s="4" t="inlineStr">
        <is>
          <t>別記1-2(6)</t>
        </is>
      </c>
      <c r="F33" s="4" t="inlineStr">
        <is>
          <t>公開ウェブサーバについて、常に死活監視を行う仕組みや環境をもつこと。</t>
        </is>
      </c>
      <c r="G33" s="2" t="inlineStr">
        <is>
          <t>Tool selection (UptimeRobot/Pingdom/self-hosted), alert routing, escalation. Setup + monthly subscription consideration.</t>
        </is>
      </c>
      <c r="H33" s="5" t="n">
        <v>3</v>
      </c>
      <c r="I33" s="5" t="n">
        <v>8</v>
      </c>
      <c r="J33" s="5" t="n">
        <v>16</v>
      </c>
      <c r="K33" s="6" t="inlineStr">
        <is>
          <t>Set up uptime monitoring (tool plus alerts and escalation).</t>
        </is>
      </c>
      <c r="L33" s="2" t="inlineStr">
        <is>
          <t>Must-Do</t>
        </is>
      </c>
    </row>
    <row r="34" ht="94.5" customHeight="1">
      <c r="A34" s="2" t="inlineStr">
        <is>
          <t>7.8</t>
        </is>
      </c>
      <c r="B34" s="2" t="inlineStr">
        <is>
          <t>Infrastructure</t>
        </is>
      </c>
      <c r="C34" s="2" t="inlineStr">
        <is>
          <t>Backup setup (monthly auto)</t>
        </is>
      </c>
      <c r="D34" s="7" t="inlineStr">
        <is>
          <t>Quick</t>
        </is>
      </c>
      <c r="E34" s="2" t="inlineStr">
        <is>
          <t>5(3)ク</t>
        </is>
      </c>
      <c r="F34" s="4" t="inlineStr">
        <is>
          <t>バックアップは、サーバごとに月１回程度自動的に実行することとし、障害発生時には最新のバックアップのデータに復元できること。</t>
        </is>
      </c>
      <c r="G34" s="2" t="inlineStr">
        <is>
          <t>Standard monthly backup config. Rough number.</t>
        </is>
      </c>
      <c r="H34" s="5" t="n">
        <v>2</v>
      </c>
      <c r="I34" s="5" t="n">
        <v>4</v>
      </c>
      <c r="J34" s="5" t="n">
        <v>10</v>
      </c>
      <c r="K34" s="6" t="inlineStr">
        <is>
          <t>Set up automatic monthly backups and test a restore.</t>
        </is>
      </c>
      <c r="L34" s="2" t="inlineStr">
        <is>
          <t>Must-Do</t>
        </is>
      </c>
    </row>
    <row r="35" ht="94.5" customHeight="1">
      <c r="A35" s="2" t="inlineStr">
        <is>
          <t>7.9</t>
        </is>
      </c>
      <c r="B35" s="2" t="inlineStr">
        <is>
          <t>Infrastructure</t>
        </is>
      </c>
      <c r="C35" s="2" t="inlineStr">
        <is>
          <t>Access log retention setup</t>
        </is>
      </c>
      <c r="D35" s="3" t="inlineStr">
        <is>
          <t>Detailed</t>
        </is>
      </c>
      <c r="E35" s="2" t="inlineStr">
        <is>
          <t>5(3)エ, 別記1-3(8)</t>
        </is>
      </c>
      <c r="F35" s="4" t="inlineStr">
        <is>
          <t>アクセスログの記録及び解析ができること。取得するログの項目及び保存期間については、仕様書に従い、又は県に提案して承認を得ること。</t>
        </is>
      </c>
      <c r="G35" s="2" t="inlineStr">
        <is>
          <t>Default web server logs vs structured logging. Retention period TBD (90 days / 1 year / 3 years).</t>
        </is>
      </c>
      <c r="H35" s="5" t="n">
        <v>3</v>
      </c>
      <c r="I35" s="5" t="n">
        <v>8</v>
      </c>
      <c r="J35" s="5" t="n">
        <v>18</v>
      </c>
      <c r="K35" s="6" t="inlineStr">
        <is>
          <t>Set up access-log recording and retention. Retention period still to be decided.</t>
        </is>
      </c>
      <c r="L35" s="2" t="inlineStr">
        <is>
          <t>Must-Do</t>
        </is>
      </c>
    </row>
    <row r="36" ht="94.5" customHeight="1">
      <c r="A36" s="2" t="inlineStr">
        <is>
          <t>7.10</t>
        </is>
      </c>
      <c r="B36" s="2" t="inlineStr">
        <is>
          <t>Infrastructure</t>
        </is>
      </c>
      <c r="C36" s="2" t="inlineStr">
        <is>
          <t>Performance tuning (1s/2s targets)</t>
        </is>
      </c>
      <c r="D36" s="3" t="inlineStr">
        <is>
          <t>Detailed</t>
        </is>
      </c>
      <c r="E36" s="2" t="inlineStr">
        <is>
          <t>5(3)オ</t>
        </is>
      </c>
      <c r="F36" s="4" t="inlineStr">
        <is>
          <t>ウェブサーバは、利用者が静的ページについて１秒以内、動的ページについて２秒以内を目安に、ページを開くことができるようデータの送信が行えること。</t>
        </is>
      </c>
      <c r="G36" s="2" t="inlineStr">
        <is>
          <t>Static &lt;1s, Dynamic &lt;2s. Caching layer, CDN, image optimization, lazy loading, DB query tuning.</t>
        </is>
      </c>
      <c r="H36" s="5" t="n">
        <v>8</v>
      </c>
      <c r="I36" s="5" t="n">
        <v>16</v>
      </c>
      <c r="J36" s="5" t="n">
        <v>40</v>
      </c>
      <c r="K36" s="6" t="inlineStr">
        <is>
          <t>Performance tuning to hit the speed targets (under 1s for static pages, under 2s for dynamic): caching, CDN, image optimization, lazy-loading, database tuning. Pairs with 10.7 (the measuring).</t>
        </is>
      </c>
      <c r="L36" s="2" t="inlineStr">
        <is>
          <t>Must-Do</t>
        </is>
      </c>
    </row>
    <row r="37" ht="94.5" customHeight="1">
      <c r="A37" s="2" t="inlineStr">
        <is>
          <t>8.2</t>
        </is>
      </c>
      <c r="B37" s="2" t="inlineStr">
        <is>
          <t>SEO / Analytics</t>
        </is>
      </c>
      <c r="C37" s="2" t="inlineStr">
        <is>
          <t>Per-page SEO implementation (title/h1/breadcrumbs)</t>
        </is>
      </c>
      <c r="D37" s="7" t="inlineStr">
        <is>
          <t>Quick</t>
        </is>
      </c>
      <c r="E37" s="2" t="inlineStr">
        <is>
          <t>7(2)</t>
        </is>
      </c>
      <c r="F37" s="4" t="inlineStr">
        <is>
          <t>県民の興味・関心から類推される検索キーワードや検索回数を参考に抽出し、各ページのタイトル、H1、パンくず等に、それぞれのページに適切なSEO施行を実施するものとする。</t>
        </is>
      </c>
      <c r="G37" s="2" t="inlineStr">
        <is>
          <t>Page count dependent but standard work per page. Rough number per 10 pages.</t>
        </is>
      </c>
      <c r="H37" s="5" t="n">
        <v>4</v>
      </c>
      <c r="I37" s="5" t="n">
        <v>12</v>
      </c>
      <c r="J37" s="5" t="n">
        <v>28</v>
      </c>
      <c r="K37" s="6" t="inlineStr">
        <is>
          <t>Add per-page SEO (title, H1, breadcrumbs). Rough figure per ~10 pages.  ||  [QA#20] SEO scope = keyword research + SEO design + GSC setup/verification only; analysis reports &amp; improvement proposals NOT in scope.</t>
        </is>
      </c>
      <c r="L37" s="2" t="inlineStr">
        <is>
          <t>Must-Do</t>
        </is>
      </c>
    </row>
    <row r="38" ht="94.5" customHeight="1">
      <c r="A38" s="2" t="inlineStr">
        <is>
          <t>8.3</t>
        </is>
      </c>
      <c r="B38" s="2" t="inlineStr">
        <is>
          <t>SEO / Analytics</t>
        </is>
      </c>
      <c r="C38" s="2" t="inlineStr">
        <is>
          <t>Sitemap.xml generation / submission</t>
        </is>
      </c>
      <c r="D38" s="7" t="inlineStr">
        <is>
          <t>Quick</t>
        </is>
      </c>
      <c r="E38" s="4" t="inlineStr">
        <is>
          <t>別記2-1(5)</t>
        </is>
      </c>
      <c r="F38" s="2" t="inlineStr">
        <is>
          <t>Google Search Consoleに対してウェブサイトの情報を適切に登録するSitemap.xmlの制作も上記に含むものとする。</t>
        </is>
      </c>
      <c r="G38" s="2" t="inlineStr">
        <is>
          <t>Standard work. Rough number.</t>
        </is>
      </c>
      <c r="H38" s="5" t="n">
        <v>1</v>
      </c>
      <c r="I38" s="5" t="n">
        <v>3</v>
      </c>
      <c r="J38" s="5" t="n">
        <v>8</v>
      </c>
      <c r="K38" s="6" t="inlineStr">
        <is>
          <t>Generate sitemap.xml and submit it to Google Search Console (usually plugin-driven).</t>
        </is>
      </c>
      <c r="L38" s="2" t="inlineStr">
        <is>
          <t>Must-Do</t>
        </is>
      </c>
    </row>
    <row r="39" ht="94.5" customHeight="1">
      <c r="A39" s="2" t="inlineStr">
        <is>
          <t>8.4</t>
        </is>
      </c>
      <c r="B39" s="2" t="inlineStr">
        <is>
          <t>SEO / Analytics</t>
        </is>
      </c>
      <c r="C39" s="2" t="inlineStr">
        <is>
          <t>Structured data (schema.org) implementation</t>
        </is>
      </c>
      <c r="D39" s="3" t="inlineStr">
        <is>
          <t>Detailed</t>
        </is>
      </c>
      <c r="E39" s="2" t="inlineStr">
        <is>
          <t>7</t>
        </is>
      </c>
      <c r="F39" s="4" t="inlineStr">
        <is>
          <t>新サイトにおいては、栃木県立博物館に関する情報発信の効果を最大化しうる SEO を施行するものとする。</t>
        </is>
      </c>
      <c r="G39" s="2" t="inlineStr">
        <is>
          <t>Schema types likely needed: Organization, Event, Article, BreadcrumbList, FAQPage, ImageObject. Estimate per schema type.</t>
        </is>
      </c>
      <c r="H39" s="5" t="n">
        <v>6</v>
      </c>
      <c r="I39" s="5" t="n">
        <v>14</v>
      </c>
      <c r="J39" s="5" t="n">
        <v>30</v>
      </c>
      <c r="K39" s="6" t="inlineStr">
        <is>
          <t>Add structured data so Google understands the content (organization, events, articles, breadcrumbs, FAQ, images).</t>
        </is>
      </c>
      <c r="L39" s="2" t="inlineStr">
        <is>
          <t>Must-Do</t>
        </is>
      </c>
    </row>
    <row r="40" ht="94.5" customHeight="1">
      <c r="A40" s="2" t="inlineStr">
        <is>
          <t>8.5</t>
        </is>
      </c>
      <c r="B40" s="2" t="inlineStr">
        <is>
          <t>SEO / Analytics</t>
        </is>
      </c>
      <c r="C40" s="2" t="inlineStr">
        <is>
          <t>Google Analytics 4 setup</t>
        </is>
      </c>
      <c r="D40" s="7" t="inlineStr">
        <is>
          <t>Quick</t>
        </is>
      </c>
      <c r="E40" s="2" t="inlineStr">
        <is>
          <t>5(1)キ(エ), 別記2-2</t>
        </is>
      </c>
      <c r="F40" s="2" t="inlineStr">
        <is>
          <t>Google AnalyticsやGoogle Tag Managerを用い、設定すること。</t>
        </is>
      </c>
      <c r="G40" s="2" t="inlineStr">
        <is>
          <t>Standard GA4 setup. Rough number.</t>
        </is>
      </c>
      <c r="H40" s="5" t="n">
        <v>2</v>
      </c>
      <c r="I40" s="5" t="n">
        <v>4</v>
      </c>
      <c r="J40" s="5" t="n">
        <v>8</v>
      </c>
      <c r="K40" s="6" t="inlineStr">
        <is>
          <t>Set up Google Analytics 4 (base config).</t>
        </is>
      </c>
      <c r="L40" s="2" t="inlineStr">
        <is>
          <t>Must-Do</t>
        </is>
      </c>
    </row>
    <row r="41" ht="94.5" customHeight="1">
      <c r="A41" s="2" t="inlineStr">
        <is>
          <t>8.6</t>
        </is>
      </c>
      <c r="B41" s="2" t="inlineStr">
        <is>
          <t>SEO / Analytics</t>
        </is>
      </c>
      <c r="C41" s="2" t="inlineStr">
        <is>
          <t>Google Tag Manager configuration</t>
        </is>
      </c>
      <c r="D41" s="7" t="inlineStr">
        <is>
          <t>Quick</t>
        </is>
      </c>
      <c r="E41" s="2" t="inlineStr">
        <is>
          <t>5(1)キ(エ), 別記2-3</t>
        </is>
      </c>
      <c r="F41" s="4" t="inlineStr">
        <is>
          <t>本事業に関連するウェブサイトに、Google Analytics等の各種計測タグ、リマーケティングなどの施策に関わるタグを導入する際は、栃木県が別途指定する『栃木県Googleタグマネージャー』を活用し、その管理を行うこと。</t>
        </is>
      </c>
      <c r="G41" s="2" t="inlineStr">
        <is>
          <t>Tochigi Pref provides their own GTM container. Standard tag config. Rough number.</t>
        </is>
      </c>
      <c r="H41" s="5" t="n">
        <v>2</v>
      </c>
      <c r="I41" s="5" t="n">
        <v>5</v>
      </c>
      <c r="J41" s="5" t="n">
        <v>12</v>
      </c>
      <c r="K41" s="6" t="inlineStr">
        <is>
          <t>Configure Google Tag Manager (using the prefecture's container) and test that tags fire.</t>
        </is>
      </c>
      <c r="L41" s="2" t="inlineStr">
        <is>
          <t>Must-Do</t>
        </is>
      </c>
    </row>
    <row r="42" ht="94.5" customHeight="1">
      <c r="A42" s="2" t="inlineStr">
        <is>
          <t>8.7</t>
        </is>
      </c>
      <c r="B42" s="2" t="inlineStr">
        <is>
          <t>SEO / Analytics</t>
        </is>
      </c>
      <c r="C42" s="2" t="inlineStr">
        <is>
          <t>Google Search Console setup</t>
        </is>
      </c>
      <c r="D42" s="7" t="inlineStr">
        <is>
          <t>Quick</t>
        </is>
      </c>
      <c r="E42" s="2" t="inlineStr">
        <is>
          <t>13(5), 別記2-1(2)</t>
        </is>
      </c>
      <c r="F42" s="2" t="inlineStr">
        <is>
          <t>Google Search Console を導入すること。</t>
        </is>
      </c>
      <c r="G42" s="2" t="inlineStr">
        <is>
          <t>Standard work. Rough number.</t>
        </is>
      </c>
      <c r="H42" s="5" t="n">
        <v>1</v>
      </c>
      <c r="I42" s="5" t="n">
        <v>2</v>
      </c>
      <c r="J42" s="5" t="n">
        <v>5</v>
      </c>
      <c r="K42" s="6" t="inlineStr">
        <is>
          <t>Set up and verify Google Search Console.</t>
        </is>
      </c>
      <c r="L42" s="2" t="inlineStr">
        <is>
          <t>Must-Do</t>
        </is>
      </c>
    </row>
    <row r="43" ht="94.5" customHeight="1">
      <c r="A43" s="2" t="inlineStr">
        <is>
          <t>8.8</t>
        </is>
      </c>
      <c r="B43" s="2" t="inlineStr">
        <is>
          <t>SEO / Analytics</t>
        </is>
      </c>
      <c r="C43" s="2" t="inlineStr">
        <is>
          <t>Video view tracking setup</t>
        </is>
      </c>
      <c r="D43" s="3" t="inlineStr">
        <is>
          <t>Detailed</t>
        </is>
      </c>
      <c r="E43" s="2" t="inlineStr">
        <is>
          <t>5(1)キ(エ)</t>
        </is>
      </c>
      <c r="F43" s="4" t="inlineStr">
        <is>
          <t>少なくとも、新サイトの閲覧回数、新サイト掲載動画視聴回数を分析できるよう、Google AnalyticsやGoogle Tag Managerを用い、設定すること。</t>
        </is>
      </c>
      <c r="G43" s="2" t="inlineStr">
        <is>
          <t>Self-hosted vs YouTube embeds vs other. GTM event tracking: play/pause/completion/milestones (25/50/75/100%).</t>
        </is>
      </c>
      <c r="H43" s="5" t="n">
        <v>3</v>
      </c>
      <c r="I43" s="5" t="n">
        <v>8</v>
      </c>
      <c r="J43" s="5" t="n">
        <v>18</v>
      </c>
      <c r="K43" s="6" t="inlineStr">
        <is>
          <t>Set up video-view tracking (play, then 25/50/75/100% milestones via Tag Manager). Depends on whether videos are on YouTube or self-hosted.  ||  [QA#13] No videos planned yet, but analytics setup still required -&gt; GTM event setup only.</t>
        </is>
      </c>
      <c r="L43" s="2" t="inlineStr">
        <is>
          <t>Must-Do</t>
        </is>
      </c>
    </row>
    <row r="44" ht="94.5" customHeight="1">
      <c r="A44" s="2" t="inlineStr">
        <is>
          <t>10.1</t>
        </is>
      </c>
      <c r="B44" s="2" t="inlineStr">
        <is>
          <t>Testing / QA</t>
        </is>
      </c>
      <c r="C44" s="2" t="inlineStr">
        <is>
          <t>Multi-browser testing</t>
        </is>
      </c>
      <c r="D44" s="7" t="inlineStr">
        <is>
          <t>Quick</t>
        </is>
      </c>
      <c r="E44" s="2" t="inlineStr">
        <is>
          <t>5(1)カ</t>
        </is>
      </c>
      <c r="F44" s="4" t="inlineStr">
        <is>
          <t>利用者の閲覧ブラウザは Microsoft Edge 及び Google Chrome、Firefox、Safari 等の最新版に対応すること。</t>
        </is>
      </c>
      <c r="G44" s="2" t="inlineStr">
        <is>
          <t>Edge/Chrome/Firefox/Safari latest. Rough number.</t>
        </is>
      </c>
      <c r="H44" s="5" t="n">
        <v>4</v>
      </c>
      <c r="I44" s="5" t="n">
        <v>8</v>
      </c>
      <c r="J44" s="5" t="n">
        <v>18</v>
      </c>
      <c r="K44" s="6" t="inlineStr">
        <is>
          <t>Test on the latest Edge, Chrome, Firefox and Safari.</t>
        </is>
      </c>
      <c r="L44" s="2" t="inlineStr">
        <is>
          <t>Must-Do</t>
        </is>
      </c>
    </row>
    <row r="45" ht="94.5" customHeight="1">
      <c r="A45" s="2" t="inlineStr">
        <is>
          <t>10.2</t>
        </is>
      </c>
      <c r="B45" s="2" t="inlineStr">
        <is>
          <t>Testing / QA</t>
        </is>
      </c>
      <c r="C45" s="2" t="inlineStr">
        <is>
          <t>Multi-OS / device testing</t>
        </is>
      </c>
      <c r="D45" s="7" t="inlineStr">
        <is>
          <t>Quick</t>
        </is>
      </c>
      <c r="E45" s="2" t="inlineStr">
        <is>
          <t>5(1)カ</t>
        </is>
      </c>
      <c r="F45" s="2" t="inlineStr">
        <is>
          <t>OS(バージョン)は Windows(11 以上)、Mac OSX(最新バージョン)、Android(12 以上)、iOS(16 以上)に対応すること。</t>
        </is>
      </c>
      <c r="G45" s="2" t="inlineStr">
        <is>
          <t>Win11/Mac/Android12+/iOS16+. Rough number.</t>
        </is>
      </c>
      <c r="H45" s="5" t="n">
        <v>4</v>
      </c>
      <c r="I45" s="5" t="n">
        <v>8</v>
      </c>
      <c r="J45" s="5" t="n">
        <v>18</v>
      </c>
      <c r="K45" s="6" t="inlineStr">
        <is>
          <t>Test on Windows 11, Mac, Android 12+ and iOS 16+.</t>
        </is>
      </c>
      <c r="L45" s="2" t="inlineStr">
        <is>
          <t>Must-Do</t>
        </is>
      </c>
    </row>
    <row r="46" ht="94.5" customHeight="1">
      <c r="A46" s="2" t="inlineStr">
        <is>
          <t>10.3</t>
        </is>
      </c>
      <c r="B46" s="2" t="inlineStr">
        <is>
          <t>Testing / QA</t>
        </is>
      </c>
      <c r="C46" s="2" t="inlineStr">
        <is>
          <t>Client PC environment verification</t>
        </is>
      </c>
      <c r="D46" s="7" t="inlineStr">
        <is>
          <t>Quick</t>
        </is>
      </c>
      <c r="E46" s="2" t="inlineStr">
        <is>
          <t>5(1)ウ</t>
        </is>
      </c>
      <c r="F46" s="4" t="inlineStr">
        <is>
          <t>甲所有の PC を使って職員が作成・更新・管理業務が行えること。</t>
        </is>
      </c>
      <c r="G46" s="2" t="inlineStr">
        <is>
          <t>Win11 Pro / Edge / i5-1135G7 / 8GB RAM. Rough number.</t>
        </is>
      </c>
      <c r="H46" s="5" t="n">
        <v>1</v>
      </c>
      <c r="I46" s="5" t="n">
        <v>3</v>
      </c>
      <c r="J46" s="5" t="n">
        <v>8</v>
      </c>
      <c r="K46" s="6" t="inlineStr">
        <is>
          <t>Verify it works on the client's actual PC spec (i5 / 8GB / Edge).</t>
        </is>
      </c>
      <c r="L46" s="2" t="inlineStr">
        <is>
          <t>Must-Do</t>
        </is>
      </c>
    </row>
    <row r="47" ht="94.5" customHeight="1">
      <c r="A47" s="2" t="inlineStr">
        <is>
          <t>10.4</t>
        </is>
      </c>
      <c r="B47" s="2" t="inlineStr">
        <is>
          <t>Testing / QA</t>
        </is>
      </c>
      <c r="C47" s="2" t="inlineStr">
        <is>
          <t>Pre-launch vulnerability audit</t>
        </is>
      </c>
      <c r="D47" s="3" t="inlineStr">
        <is>
          <t>Detailed</t>
        </is>
      </c>
      <c r="E47" s="2" t="inlineStr">
        <is>
          <t>5(1)キ(オ), 別記1-3(3)</t>
        </is>
      </c>
      <c r="F47" s="4" t="inlineStr">
        <is>
          <t>新サイトの公開前に、脆弱性の監査を受けること。</t>
        </is>
      </c>
      <c r="G47" s="2" t="inlineStr">
        <is>
          <t>AWAITING CLIENT ANSWER. Estimate per scenario: (a) self-conducted scan (OWASP ZAP), (b) third-party audit + coordination.</t>
        </is>
      </c>
      <c r="H47" s="5" t="n">
        <v>4</v>
      </c>
      <c r="I47" s="5" t="n">
        <v>8</v>
      </c>
      <c r="J47" s="5" t="n">
        <v>16</v>
      </c>
      <c r="K47" s="6" t="inlineStr">
        <is>
          <t>Pre-launch security (vulnerability) audit. AWAITING CLIENT on the type. Estimate assumes we run the scan ourselves (OWASP ZAP) and fix issues = 4/8/16h. A third-party audit plus coordination would be 12/24/40h (the audit fee is separate).  ||  [QA#15] Self-conducted scan (OWASP ZAP) confirmed -&gt; low scenario.</t>
        </is>
      </c>
      <c r="L47" s="2" t="inlineStr">
        <is>
          <t>Must-Do</t>
        </is>
      </c>
    </row>
    <row r="48" ht="94.5" customHeight="1">
      <c r="A48" s="2" t="inlineStr">
        <is>
          <t>10.5</t>
        </is>
      </c>
      <c r="B48" s="2" t="inlineStr">
        <is>
          <t>Testing / QA</t>
        </is>
      </c>
      <c r="C48" s="2" t="inlineStr">
        <is>
          <t>Platform diagnostics during operation</t>
        </is>
      </c>
      <c r="D48" s="3" t="inlineStr">
        <is>
          <t>Detailed</t>
        </is>
      </c>
      <c r="E48" s="4" t="inlineStr">
        <is>
          <t>別記1-3(5)</t>
        </is>
      </c>
      <c r="F48" s="4" t="inlineStr">
        <is>
          <t>ウェブサイトの運用中(公開中)は、定期的にポートスキャン、脆弱性チェックを含むプラットフォーム診断を実施し、脆弱性が検出された場合には、適切な処置を講じるとともに結果を県に報告すること。</t>
        </is>
      </c>
      <c r="G48" s="2" t="inlineStr">
        <is>
          <t>Frequency TBD (monthly or quarterly?). Per-scan effort + report writing.</t>
        </is>
      </c>
      <c r="H48" s="5" t="n">
        <v>3</v>
      </c>
      <c r="I48" s="5" t="n">
        <v>6</v>
      </c>
      <c r="J48" s="5" t="n">
        <v>14</v>
      </c>
      <c r="K48" s="6" t="inlineStr">
        <is>
          <t>Periodic security scans (ports, vulnerabilities) during operation, plus reports. Frequency to be decided (monthly vs quarterly).  ||  [QA#15] Frequency = at least once during contract (not monthly) -&gt; reduced.</t>
        </is>
      </c>
      <c r="L48" s="2" t="inlineStr">
        <is>
          <t>Must-Do</t>
        </is>
      </c>
    </row>
    <row r="49" ht="94.5" customHeight="1">
      <c r="A49" s="2" t="inlineStr">
        <is>
          <t>10.6</t>
        </is>
      </c>
      <c r="B49" s="2" t="inlineStr">
        <is>
          <t>Testing / QA</t>
        </is>
      </c>
      <c r="C49" s="2" t="inlineStr">
        <is>
          <t>Accessibility verification</t>
        </is>
      </c>
      <c r="D49" s="3" t="inlineStr">
        <is>
          <t>Detailed</t>
        </is>
      </c>
      <c r="E49" s="2" t="inlineStr">
        <is>
          <t>5(1)キ(ウ)</t>
        </is>
      </c>
      <c r="F49" s="4" t="inlineStr">
        <is>
          <t>個人情報保護に関する法律及び JIS X 8341-3 に準拠した仕様とし、文字の視認性、色使い、画像の代替テキストへの配慮を行うこと。</t>
        </is>
      </c>
      <c r="G49" s="2" t="inlineStr">
        <is>
          <t>AWAITING CLIENT ANSWER. Estimate per scenario: (a) Level A, (b) Level AA. Tools: axe DevTools, Lighthouse, manual screen reader.</t>
        </is>
      </c>
      <c r="H49" s="5" t="n">
        <v>5</v>
      </c>
      <c r="I49" s="5" t="n">
        <v>11</v>
      </c>
      <c r="J49" s="5" t="n">
        <v>26</v>
      </c>
      <c r="K49" s="6" t="inlineStr">
        <is>
          <t>Test accessibility (axe, Lighthouse, manual screen-reader). AWAITING CLIENT on the level. Estimate assumes Level AA = 6/14/36h. Basic Level A would be 4/8/16h.  ||  [QA#12] Mixed A+AA, self-testing -&gt; reduced from full-AA.</t>
        </is>
      </c>
      <c r="L49" s="2" t="inlineStr">
        <is>
          <t>Must-Do</t>
        </is>
      </c>
    </row>
    <row r="50" ht="94.5" customHeight="1">
      <c r="A50" s="2" t="inlineStr">
        <is>
          <t>10.7</t>
        </is>
      </c>
      <c r="B50" s="2" t="inlineStr">
        <is>
          <t>Testing / QA</t>
        </is>
      </c>
      <c r="C50" s="2" t="inlineStr">
        <is>
          <t>Page speed measurement / improvement</t>
        </is>
      </c>
      <c r="D50" s="7" t="inlineStr">
        <is>
          <t>Quick</t>
        </is>
      </c>
      <c r="E50" s="2" t="inlineStr">
        <is>
          <t>5(3)オ</t>
        </is>
      </c>
      <c r="F50" s="4" t="inlineStr">
        <is>
          <t>ウェブサーバは、利用者が静的ページについて１秒以内、動的ページについて２秒以内を目安に、ページを開くことができるようデータの送信が行えること。</t>
        </is>
      </c>
      <c r="G50" s="2" t="inlineStr">
        <is>
          <t>Lighthouse measurement + tuning iterations. Rough number.</t>
        </is>
      </c>
      <c r="H50" s="5" t="n">
        <v>3</v>
      </c>
      <c r="I50" s="5" t="n">
        <v>8</v>
      </c>
      <c r="J50" s="5" t="n">
        <v>20</v>
      </c>
      <c r="K50" s="6" t="inlineStr">
        <is>
          <t>Measure page speed (Lighthouse) and tune. Overlaps 7.10.</t>
        </is>
      </c>
      <c r="L50" s="2" t="inlineStr">
        <is>
          <t>Must-Do</t>
        </is>
      </c>
    </row>
    <row r="51" ht="94.5" customHeight="1">
      <c r="A51" s="2" t="inlineStr">
        <is>
          <t>10.8</t>
        </is>
      </c>
      <c r="B51" s="2" t="inlineStr">
        <is>
          <t>Testing / QA</t>
        </is>
      </c>
      <c r="C51" s="2" t="inlineStr">
        <is>
          <t>GA/GTM/SC operational verification</t>
        </is>
      </c>
      <c r="D51" s="7" t="inlineStr">
        <is>
          <t>Quick</t>
        </is>
      </c>
      <c r="E51" s="4" t="inlineStr">
        <is>
          <t>別記2-1(6)</t>
        </is>
      </c>
      <c r="F51" s="4" t="inlineStr">
        <is>
          <t>ウェブサイト(ホームページ)やランディングページなどの納品時には、タグマネジメントの設定及び Google Search Console、効果計測並びに広告配信のタグが正常に動くことを確認した上で納品すること。</t>
        </is>
      </c>
      <c r="G51" s="2" t="inlineStr">
        <is>
          <t>Final verification at delivery. Rough number.</t>
        </is>
      </c>
      <c r="H51" s="5" t="n">
        <v>2</v>
      </c>
      <c r="I51" s="5" t="n">
        <v>4</v>
      </c>
      <c r="J51" s="5" t="n">
        <v>10</v>
      </c>
      <c r="K51" s="6" t="inlineStr">
        <is>
          <t>Final check at handover that the Analytics, Tag Manager and Search Console tags all fire correctly.</t>
        </is>
      </c>
      <c r="L51" s="2" t="inlineStr">
        <is>
          <t>Must-Do</t>
        </is>
      </c>
    </row>
    <row r="52" ht="94.5" customHeight="1">
      <c r="A52" s="2" t="inlineStr">
        <is>
          <t>11.4</t>
        </is>
      </c>
      <c r="B52" s="2" t="inlineStr">
        <is>
          <t>Documentation</t>
        </is>
      </c>
      <c r="C52" s="2" t="inlineStr">
        <is>
          <t>GA access permission setup</t>
        </is>
      </c>
      <c r="D52" s="7" t="inlineStr">
        <is>
          <t>Quick</t>
        </is>
      </c>
      <c r="E52" s="2" t="inlineStr">
        <is>
          <t>12(1) No.10</t>
        </is>
      </c>
      <c r="F52" s="2" t="inlineStr">
        <is>
          <t>Google Analyticsによる閲覧者等のデータを可視化するためのアクセス権限一式</t>
        </is>
      </c>
      <c r="G52" s="2" t="inlineStr">
        <is>
          <t>Add client users to GA, set permission levels. Rough number.</t>
        </is>
      </c>
      <c r="H52" s="5" t="n">
        <v>1</v>
      </c>
      <c r="I52" s="5" t="n">
        <v>2</v>
      </c>
      <c r="J52" s="5" t="n">
        <v>4</v>
      </c>
      <c r="K52" s="6" t="inlineStr">
        <is>
          <t>Give the client viewing access to Google Analytics. The CMS operation manual (操作マニュアル, §9 / Deliverable No.15) is in row ADD.2.</t>
        </is>
      </c>
      <c r="L52" s="2" t="inlineStr">
        <is>
          <t>Must-Do</t>
        </is>
      </c>
    </row>
    <row r="53" ht="94.5" customHeight="1">
      <c r="A53" s="2" t="inlineStr">
        <is>
          <t>12.1</t>
        </is>
      </c>
      <c r="B53" s="2" t="inlineStr">
        <is>
          <t>Launch / Operation</t>
        </is>
      </c>
      <c r="C53" s="2" t="inlineStr">
        <is>
          <t>Production deployment</t>
        </is>
      </c>
      <c r="D53" s="7" t="inlineStr">
        <is>
          <t>Quick</t>
        </is>
      </c>
      <c r="E53" s="2" t="inlineStr">
        <is>
          <t>4(2)</t>
        </is>
      </c>
      <c r="F53" s="4" t="inlineStr">
        <is>
          <t>新サイトの公開時期 令和９(2027)年３月中旬頃(予定)</t>
        </is>
      </c>
      <c r="G53" s="2" t="inlineStr">
        <is>
          <t>Production deployment day. Rough number.</t>
        </is>
      </c>
      <c r="H53" s="5" t="n">
        <v>3</v>
      </c>
      <c r="I53" s="5" t="n">
        <v>6</v>
      </c>
      <c r="J53" s="5" t="n">
        <v>14</v>
      </c>
      <c r="K53" s="6" t="inlineStr">
        <is>
          <t>Deploy to production (go-live day). Project management and client meetings - monthly meetings (13(6)) and progress reports (13(7)) - are in row ADD.3.</t>
        </is>
      </c>
      <c r="L53" s="2" t="inlineStr">
        <is>
          <t>Must-Do</t>
        </is>
      </c>
    </row>
    <row r="54" ht="94.5" customHeight="1">
      <c r="A54" s="2" t="inlineStr">
        <is>
          <t>12.2</t>
        </is>
      </c>
      <c r="B54" s="2" t="inlineStr">
        <is>
          <t>Launch / Operation</t>
        </is>
      </c>
      <c r="C54" s="2" t="inlineStr">
        <is>
          <t>DNS cutover, redirects from old site</t>
        </is>
      </c>
      <c r="D54" s="3" t="inlineStr">
        <is>
          <t>Detailed</t>
        </is>
      </c>
      <c r="E54" s="4" t="inlineStr">
        <is>
          <t>別記1-1(3)</t>
        </is>
      </c>
      <c r="F54" s="4" t="inlineStr">
        <is>
          <t>ウェブサイト公開時は常時 SSL 化することとし、http 通信は https 通信にリダイレクトする等の対応を検討すること。</t>
        </is>
      </c>
      <c r="G54" s="2" t="inlineStr">
        <is>
          <t>If URL changes: 301 redirect mapping for top-traffic pages (need analytics). If URL stays: just DNS cutover. Estimate both.</t>
        </is>
      </c>
      <c r="H54" s="5" t="n">
        <v>4</v>
      </c>
      <c r="I54" s="5" t="n">
        <v>8</v>
      </c>
      <c r="J54" s="5" t="n">
        <v>16</v>
      </c>
      <c r="K54" s="6" t="inlineStr">
        <is>
          <t>DNS switch-over and redirects from the old site. AWAITING CLIENT on whether the URL changes. Estimate assumes the URL stays the same, with redirects for changed pages = 4/8/16h. If the URL changes, mapping 301 redirects for top pages would be 8/16/30h.  ||  [QA#3] URL unchanged -&gt; low scenario (no full 301 remap).</t>
        </is>
      </c>
      <c r="L54" s="2" t="inlineStr">
        <is>
          <t>Must-Do</t>
        </is>
      </c>
    </row>
    <row r="55" ht="94.5" customHeight="1">
      <c r="A55" s="2" t="inlineStr">
        <is>
          <t>12.3</t>
        </is>
      </c>
      <c r="B55" s="2" t="inlineStr">
        <is>
          <t>Launch / Operation</t>
        </is>
      </c>
      <c r="C55" s="2" t="inlineStr">
        <is>
          <t>Post-launch verification / initial trouble response</t>
        </is>
      </c>
      <c r="D55" s="7" t="inlineStr">
        <is>
          <t>Quick</t>
        </is>
      </c>
      <c r="E55" s="2" t="inlineStr">
        <is>
          <t>10(1)</t>
        </is>
      </c>
      <c r="F55" s="4" t="inlineStr">
        <is>
          <t>障害等が発生した旨の連絡を受けてから迅速に電話等で障害状況を確認し、速やかに復旧措置を行うこと。</t>
        </is>
      </c>
      <c r="G55" s="2" t="inlineStr">
        <is>
          <t>Launch day + following week monitoring. Rough number.</t>
        </is>
      </c>
      <c r="H55" s="5" t="n">
        <v>4</v>
      </c>
      <c r="I55" s="5" t="n">
        <v>8</v>
      </c>
      <c r="J55" s="5" t="n">
        <v>20</v>
      </c>
      <c r="K55" s="6" t="inlineStr">
        <is>
          <t>Watch the site on launch day and through the first week; fix any quick issues.</t>
        </is>
      </c>
      <c r="L55" s="2" t="inlineStr">
        <is>
          <t>Must-Do</t>
        </is>
      </c>
    </row>
    <row r="56" ht="94.5" customHeight="1">
      <c r="A56" s="2" t="inlineStr">
        <is>
          <t>13.1</t>
        </is>
      </c>
      <c r="B56" s="2" t="inlineStr">
        <is>
          <t>Maintenance</t>
        </is>
      </c>
      <c r="C56" s="2" t="inlineStr">
        <is>
          <t>24/365 incident reception</t>
        </is>
      </c>
      <c r="D56" s="3" t="inlineStr">
        <is>
          <t>Detailed</t>
        </is>
      </c>
      <c r="E56" s="2" t="inlineStr">
        <is>
          <t>5(4)ア, 10(1)</t>
        </is>
      </c>
      <c r="F56" s="4" t="inlineStr">
        <is>
          <t>システム停止等の緊急性を伴う障害については、24時間365日受付及び対応を行うこととし、緊急連絡先を確保すること。</t>
        </is>
      </c>
      <c r="G56" s="2" t="inlineStr">
        <is>
          <t>Email: 24/365 reception, weekday 9-17 response. Emergency 24/365 for system down. Setup: ticketing system + on-call rotation.</t>
        </is>
      </c>
      <c r="H56" s="5" t="n">
        <v>4</v>
      </c>
      <c r="I56" s="5" t="n">
        <v>10</v>
      </c>
      <c r="J56" s="5" t="n">
        <v>24</v>
      </c>
      <c r="K56" s="6" t="inlineStr">
        <is>
          <t>Set up the 24/7/365 incident desk: ticketing, on-call rota, contact points.</t>
        </is>
      </c>
      <c r="L56" s="2" t="inlineStr">
        <is>
          <t>Must-Do</t>
        </is>
      </c>
    </row>
    <row r="57" ht="94.5" customHeight="1">
      <c r="A57" s="2" t="inlineStr">
        <is>
          <t>13.2</t>
        </is>
      </c>
      <c r="B57" s="2" t="inlineStr">
        <is>
          <t>Maintenance</t>
        </is>
      </c>
      <c r="C57" s="2" t="inlineStr">
        <is>
          <t>Incident recovery work</t>
        </is>
      </c>
      <c r="D57" s="3" t="inlineStr">
        <is>
          <t>Detailed</t>
        </is>
      </c>
      <c r="E57" s="2" t="inlineStr">
        <is>
          <t>10(1)イ</t>
        </is>
      </c>
      <c r="F57" s="4" t="inlineStr">
        <is>
          <t>障害等が発生した旨の連絡を受けてから迅速に電話等で障害状況を確認し、速やかに復旧措置を行うこと。</t>
        </is>
      </c>
      <c r="G57" s="2" t="inlineStr">
        <is>
          <t>Buffered effort for unplanned incidents during contract period. Estimate optimistic (0 incidents), likely (2-3 minor), pessimistic (1 major).</t>
        </is>
      </c>
      <c r="H57" s="5" t="n">
        <v>4</v>
      </c>
      <c r="I57" s="5" t="n">
        <v>16</v>
      </c>
      <c r="J57" s="5" t="n">
        <v>48</v>
      </c>
      <c r="K57" s="6" t="inlineStr">
        <is>
          <t>Buffer for fixing unexpected incidents during the 1-year free-support period (spec 10(1)オ). Estimate assumes a couple of minor incidents. None = ~4h; 2-3 minor = ~16h; one major = ~48h.</t>
        </is>
      </c>
      <c r="L57" s="2" t="inlineStr">
        <is>
          <t>Must-Do</t>
        </is>
      </c>
    </row>
    <row r="58" ht="94.5" customHeight="1">
      <c r="A58" s="2" t="inlineStr">
        <is>
          <t>13.5</t>
        </is>
      </c>
      <c r="B58" s="2" t="inlineStr">
        <is>
          <t>Maintenance</t>
        </is>
      </c>
      <c r="C58" s="2" t="inlineStr">
        <is>
          <t>Security patch application</t>
        </is>
      </c>
      <c r="D58" s="3" t="inlineStr">
        <is>
          <t>Detailed</t>
        </is>
      </c>
      <c r="E58" s="2" t="inlineStr">
        <is>
          <t>5(3), 別記1-3(2)</t>
        </is>
      </c>
      <c r="F58" s="4" t="inlineStr">
        <is>
          <t>サーバ OS・ミドルウェア等の脆弱性情報を都度収集し、適切な脆弱性対応を行うとともに、速やかに県に報告すること。</t>
        </is>
      </c>
      <c r="G58" s="2" t="inlineStr">
        <is>
          <t>WP core, plugins, themes. OS/MW patches if not managed by prefecture. Monthly effort estimate.</t>
        </is>
      </c>
      <c r="H58" s="5" t="n">
        <v>4</v>
      </c>
      <c r="I58" s="5" t="n">
        <v>16</v>
      </c>
      <c r="J58" s="5" t="n">
        <v>40</v>
      </c>
      <c r="K58" s="6" t="inlineStr">
        <is>
          <t>Apply security patches over the build and support period (WordPress core, plugins, themes, plus the OS if we manage it). Monthly. Lower if the prefecture manages the OS.  ||  [QA#24] Routine WP/plugin/OS updates &amp; normal maintenance are a SEPARATE maintenance contract; only deliverable-defect fixes are in the 1-yr free warranty.</t>
        </is>
      </c>
      <c r="L58" s="2" t="inlineStr">
        <is>
          <t>Must-Do</t>
        </is>
      </c>
    </row>
    <row r="59" ht="94.5" customHeight="1">
      <c r="A59" s="2" t="inlineStr">
        <is>
          <t>13.6</t>
        </is>
      </c>
      <c r="B59" s="2" t="inlineStr">
        <is>
          <t>Maintenance</t>
        </is>
      </c>
      <c r="C59" s="2" t="inlineStr">
        <is>
          <t>Vulnerability inspection (1x during contract)</t>
        </is>
      </c>
      <c r="D59" s="7" t="inlineStr">
        <is>
          <t>Quick</t>
        </is>
      </c>
      <c r="E59" s="2" t="inlineStr">
        <is>
          <t>5(3)ケ</t>
        </is>
      </c>
      <c r="F59" s="4" t="inlineStr">
        <is>
          <t>独自の脆弱性検査を契約期間中１回以上実施し、サイトの安全性を確認すること。</t>
        </is>
      </c>
      <c r="G59" s="2" t="inlineStr">
        <is>
          <t>Once during contract period. Standard work. Rough number.</t>
        </is>
      </c>
      <c r="H59" s="5" t="n">
        <v>3</v>
      </c>
      <c r="I59" s="5" t="n">
        <v>8</v>
      </c>
      <c r="J59" s="5" t="n">
        <v>18</v>
      </c>
      <c r="K59" s="6" t="inlineStr">
        <is>
          <t>Run one independent vulnerability check during the contract.</t>
        </is>
      </c>
      <c r="L59" s="2" t="inlineStr">
        <is>
          <t>Must-Do</t>
        </is>
      </c>
    </row>
    <row r="60" ht="94.5" customHeight="1">
      <c r="A60" s="2" t="inlineStr">
        <is>
          <t>14.1</t>
        </is>
      </c>
      <c r="B60" s="2" t="inlineStr">
        <is>
          <t>Handover</t>
        </is>
      </c>
      <c r="C60" s="2" t="inlineStr">
        <is>
          <t>Content file delivery preparation</t>
        </is>
      </c>
      <c r="D60" s="7" t="inlineStr">
        <is>
          <t>Quick</t>
        </is>
      </c>
      <c r="E60" s="2" t="inlineStr">
        <is>
          <t>10(2)ア</t>
        </is>
      </c>
      <c r="F60" s="4" t="inlineStr">
        <is>
          <t>受託業者は次のデータを無償で提供すること。HTML ファイル、CSS ファイル、イメージファイル等コンテンツを構成するファイル。</t>
        </is>
      </c>
      <c r="G60" s="2" t="inlineStr">
        <is>
          <t>Standard data export. Rough number.</t>
        </is>
      </c>
      <c r="H60" s="5" t="n">
        <v>2</v>
      </c>
      <c r="I60" s="5" t="n">
        <v>4</v>
      </c>
      <c r="J60" s="5" t="n">
        <v>10</v>
      </c>
      <c r="K60" s="6" t="inlineStr">
        <is>
          <t>Export the content files (HTML, CSS, images) for handover.</t>
        </is>
      </c>
      <c r="L60" s="2" t="inlineStr">
        <is>
          <t>Must-Do</t>
        </is>
      </c>
    </row>
    <row r="61" ht="94.5" customHeight="1">
      <c r="A61" s="2" t="inlineStr">
        <is>
          <t>14.2</t>
        </is>
      </c>
      <c r="B61" s="2" t="inlineStr">
        <is>
          <t>Handover</t>
        </is>
      </c>
      <c r="C61" s="2" t="inlineStr">
        <is>
          <t>DB data CSV export</t>
        </is>
      </c>
      <c r="D61" s="7" t="inlineStr">
        <is>
          <t>Quick</t>
        </is>
      </c>
      <c r="E61" s="2" t="inlineStr">
        <is>
          <t>10(2)ア</t>
        </is>
      </c>
      <c r="F61" s="4" t="inlineStr">
        <is>
          <t>その他、DB に格納されているデータ。なお、出力形式は CSV を原則とする。</t>
        </is>
      </c>
      <c r="G61" s="2" t="inlineStr">
        <is>
          <t>Standard DB export to CSV. Rough number.</t>
        </is>
      </c>
      <c r="H61" s="5" t="n">
        <v>2</v>
      </c>
      <c r="I61" s="5" t="n">
        <v>5</v>
      </c>
      <c r="J61" s="5" t="n">
        <v>12</v>
      </c>
      <c r="K61" s="6" t="inlineStr">
        <is>
          <t>Export the database to CSV (the format the spec requires).</t>
        </is>
      </c>
      <c r="L61" s="2" t="inlineStr">
        <is>
          <t>Must-Do</t>
        </is>
      </c>
    </row>
    <row r="62" ht="94.5" customHeight="1">
      <c r="A62" s="2" t="inlineStr">
        <is>
          <t>14.3</t>
        </is>
      </c>
      <c r="B62" s="2" t="inlineStr">
        <is>
          <t>Handover</t>
        </is>
      </c>
      <c r="C62" s="2" t="inlineStr">
        <is>
          <t>Directory structure / column documentation</t>
        </is>
      </c>
      <c r="D62" s="7" t="inlineStr">
        <is>
          <t>Quick</t>
        </is>
      </c>
      <c r="E62" s="2" t="inlineStr">
        <is>
          <t>10(2)イ</t>
        </is>
      </c>
      <c r="F62" s="4" t="inlineStr">
        <is>
          <t>受託業者はコンテンツを構成するファイルのディレクトリ構造及び DB から CSV として出力したデータの各カラムについて、説明書を作成すること。</t>
        </is>
      </c>
      <c r="G62" s="2" t="inlineStr">
        <is>
          <t>Standard handover doc. Rough number.</t>
        </is>
      </c>
      <c r="H62" s="5" t="n">
        <v>3</v>
      </c>
      <c r="I62" s="5" t="n">
        <v>6</v>
      </c>
      <c r="J62" s="5" t="n">
        <v>14</v>
      </c>
      <c r="K62" s="6" t="inlineStr">
        <is>
          <t>Write the handover document explaining the file structure and the CSV columns.</t>
        </is>
      </c>
      <c r="L62" s="2" t="inlineStr">
        <is>
          <t>Must-Do</t>
        </is>
      </c>
    </row>
    <row r="63" ht="94.5" customHeight="1">
      <c r="A63" s="2" t="inlineStr">
        <is>
          <t>14.4</t>
        </is>
      </c>
      <c r="B63" s="2" t="inlineStr">
        <is>
          <t>Handover</t>
        </is>
      </c>
      <c r="C63" s="2" t="inlineStr">
        <is>
          <t>Design consideration for future renewal</t>
        </is>
      </c>
      <c r="D63" s="7" t="inlineStr">
        <is>
          <t>Quick</t>
        </is>
      </c>
      <c r="E63" s="2" t="inlineStr">
        <is>
          <t>13(8)</t>
        </is>
      </c>
      <c r="F63" s="4" t="inlineStr">
        <is>
          <t>本業務で作成する新サイトについて、将来のアップデート又はリニューアルを見据え、データの移行等がスムーズに行われるよう、設計等の段階において配慮すること。</t>
        </is>
      </c>
      <c r="G63" s="2" t="inlineStr">
        <is>
          <t>Mostly design-phase consideration, not separate work. Rough number for any extra effort.</t>
        </is>
      </c>
      <c r="H63" s="5" t="n">
        <v>1</v>
      </c>
      <c r="I63" s="5" t="n">
        <v>3</v>
      </c>
      <c r="J63" s="5" t="n">
        <v>8</v>
      </c>
      <c r="K63" s="6" t="inlineStr">
        <is>
          <t>Design with future migration in mind - mostly a design-phase consideration, minor extra effort.</t>
        </is>
      </c>
      <c r="L63" s="2" t="inlineStr">
        <is>
          <t>Must-Do</t>
        </is>
      </c>
    </row>
    <row r="64" ht="94.5" customHeight="1">
      <c r="A64" s="2" t="inlineStr">
        <is>
          <t>ADD.1</t>
        </is>
      </c>
      <c r="B64" s="2" t="inlineStr">
        <is>
          <t>Content Migration</t>
        </is>
      </c>
      <c r="C64" s="2" t="inlineStr">
        <is>
          <t>Migrate existing content (~1,000+ blog posts, ~137 exhibition pages)</t>
        </is>
      </c>
      <c r="D64" s="3" t="inlineStr">
        <is>
          <t>Detailed</t>
        </is>
      </c>
      <c r="E64" s="2" t="inlineStr">
        <is>
          <t>別紙, 12(1) No.11</t>
        </is>
      </c>
      <c r="F64" s="4" t="inlineStr">
        <is>
          <t>新着情報(博物館ブログ 約1,000件以上)及び展示ページ等の既存コンテンツを新サイトへ移行する。</t>
        </is>
      </c>
      <c r="G64" s="2" t="inlineStr">
        <is>
          <t>[OPTIONAL – round-2 proposal per QA#2/#10/#27] ADDED - required but not in the original 62. Moving content from the old Movable Type system into WordPress.</t>
        </is>
      </c>
      <c r="H64" s="5" t="n">
        <v>24</v>
      </c>
      <c r="I64" s="5" t="n">
        <v>64</v>
      </c>
      <c r="J64" s="5" t="n">
        <v>140</v>
      </c>
      <c r="K64" s="6" t="inlineStr">
        <is>
          <t>Biggest unknown. Confirm scope: fully automated migration vs aggregating a feed vs the client's team re-enters content. Likely needs a custom import script plus cleanup and checking. Widen the estimate if the old data is messy.  ||  [QA#2/#10] Baseline = build new sitemap fresh; museum re-enters content. Archive migration only 'propose if within budget' -&gt; moved to optional/proposal, excluded from must-do total.</t>
        </is>
      </c>
      <c r="L64" s="2" t="inlineStr">
        <is>
          <t>Optional</t>
        </is>
      </c>
    </row>
    <row r="65" ht="94.5" customHeight="1">
      <c r="A65" s="2" t="inlineStr">
        <is>
          <t>ADD.2</t>
        </is>
      </c>
      <c r="B65" s="2" t="inlineStr">
        <is>
          <t>Documentation</t>
        </is>
      </c>
      <c r="C65" s="2" t="inlineStr">
        <is>
          <t>Project documents (requirements, operation-flow, site structure, ops/handover, completion report, CMS manual)</t>
        </is>
      </c>
      <c r="D65" s="3" t="inlineStr">
        <is>
          <t>Detailed</t>
        </is>
      </c>
      <c r="E65" s="2" t="inlineStr">
        <is>
          <t>12(1) No.3/4/6/9/12/13/15, 8(1), 9</t>
        </is>
      </c>
      <c r="F65" s="4" t="inlineStr">
        <is>
          <t>要件定義書、運用フロー定義書、新サイト構造設計書、運用体制表、業務完了報告書、操作マニュアル等の作成。</t>
        </is>
      </c>
      <c r="G65" s="2" t="inlineStr">
        <is>
          <t>ADDED - required deliverables not in the original 62.</t>
        </is>
      </c>
      <c r="H65" s="5" t="n">
        <v>64</v>
      </c>
      <c r="I65" s="5" t="n">
        <v>120</v>
      </c>
      <c r="J65" s="5" t="n">
        <v>240</v>
      </c>
      <c r="K65" s="6" t="inlineStr">
        <is>
          <t>Bundle: requirements document (要件定義書) ~32h, operation-flow document (運用フロー定義書) ~16h, site structure / wireframes (新サイト構造設計書) ~28h, ops-structure (運用体制表) + completion report (業務完了報告書) ~12h, CMS manual (操作マニュアル, USB + 2 printed copies) ~32h. Split into separate rows once scoped.</t>
        </is>
      </c>
      <c r="L65" s="2" t="inlineStr">
        <is>
          <t>Must-Do</t>
        </is>
      </c>
    </row>
    <row r="66">
      <c r="A66" s="2" t="inlineStr">
        <is>
          <t>ADD.3</t>
        </is>
      </c>
      <c r="B66" s="2" t="inlineStr">
        <is>
          <t>Project Management</t>
        </is>
      </c>
      <c r="C66" s="2" t="inlineStr">
        <is>
          <t>Project management, monthly meetings, progress reports, schedule &amp; plan</t>
        </is>
      </c>
      <c r="D66" s="3" t="inlineStr">
        <is>
          <t>Detailed</t>
        </is>
      </c>
      <c r="E66" s="2" t="inlineStr">
        <is>
          <t>12(1) No.1/2, 13(6),(7)</t>
        </is>
      </c>
      <c r="F66" s="4" t="inlineStr">
        <is>
          <t>リニューアル作業工程表・プロジェクト計画書の作成。打合せは毎月程度実施し、求めに応じ進捗を報告する。</t>
        </is>
      </c>
      <c r="G66" s="2" t="inlineStr">
        <is>
          <t>ADDED - required but not in the original 62.</t>
        </is>
      </c>
      <c r="H66" s="5" t="n">
        <v>24</v>
      </c>
      <c r="I66" s="5" t="n">
        <v>60</v>
      </c>
      <c r="J66" s="5" t="n">
        <v>120</v>
      </c>
      <c r="K66" s="6" t="inlineStr">
        <is>
          <t>Spread across the ~9-month contract. Confirm whether PM is counted here or tracked separately as an overhead percentage.</t>
        </is>
      </c>
      <c r="L66" s="2" t="inlineStr">
        <is>
          <t>Must-Do</t>
        </is>
      </c>
    </row>
    <row r="67">
      <c r="A67" s="2" t="inlineStr">
        <is>
          <t>ADD.4</t>
        </is>
      </c>
      <c r="B67" s="2" t="inlineStr">
        <is>
          <t>Security / Privacy</t>
        </is>
      </c>
      <c r="C67" s="2" t="inlineStr">
        <is>
          <t>Data privacy &amp; security readiness</t>
        </is>
      </c>
      <c r="D67" s="3" t="inlineStr">
        <is>
          <t>Detailed</t>
        </is>
      </c>
      <c r="E67" s="2" t="inlineStr">
        <is>
          <t>5(1)キ(ウ), 個人情報保護法, 別記1</t>
        </is>
      </c>
      <c r="F67" s="4" t="inlineStr">
        <is>
          <t>個人情報保護に関する法律及び JIS X 8341-3 に準拠した仕様とすること。</t>
        </is>
      </c>
      <c r="G67" s="2" t="inlineStr">
        <is>
          <t>ADDED (internal review – Prakhar). Site collects personal data via contact forms and the reservation link, so privacy/compliance and account-security hardening are required but were not in the original 62.</t>
        </is>
      </c>
      <c r="H67" s="5" t="n">
        <v>12</v>
      </c>
      <c r="I67" s="5" t="n">
        <v>28</v>
      </c>
      <c r="J67" s="5" t="n">
        <v>56</v>
      </c>
      <c r="K67" s="6" t="inlineStr">
        <is>
          <t>Bundle: privacy policy page ~2/4/8; personal-info handling compliance for forms (consent, retention, transfer) ~4/8/16; MFA/2FA + password policy + login hardening ~3/8/16; staff security training (prep+session+doc) ~3/8/16. Split into separate rows once scoped.</t>
        </is>
      </c>
      <c r="L67" s="2" t="inlineStr">
        <is>
          <t>Must-Do</t>
        </is>
      </c>
    </row>
    <row r="68">
      <c r="A68" s="2" t="inlineStr">
        <is>
          <t>ADD.5</t>
        </is>
      </c>
      <c r="B68" s="2" t="inlineStr">
        <is>
          <t>Content / Editorial</t>
        </is>
      </c>
      <c r="C68" s="2" t="inlineStr">
        <is>
          <t>Editorial / content production (copywriting, interviews, fact-check)</t>
        </is>
      </c>
      <c r="D68" s="3" t="inlineStr">
        <is>
          <t>Detailed</t>
        </is>
      </c>
      <c r="E68" s="2" t="inlineStr">
        <is>
          <t>8(2)ウ, QA#22</t>
        </is>
      </c>
      <c r="F68" s="4" t="inlineStr">
        <is>
          <t>原稿のリライティング。新規原稿作成や取材・内容確認まで受託者側の業務に含まれます。</t>
        </is>
      </c>
      <c r="G68" s="2" t="inlineStr">
        <is>
          <t>ADDED per QA#22 – client confirmed contractor scope INCLUDES new manuscript writing, interviews (取材) and fact-checking. Editorial/content work, NOT engineering – tracked as separate scope so the engineering total stays clean.</t>
        </is>
      </c>
      <c r="H68" s="5" t="n">
        <v>32</v>
      </c>
      <c r="I68" s="5" t="n">
        <v>88</v>
      </c>
      <c r="J68" s="5" t="n">
        <v>180</v>
      </c>
      <c r="K68" s="6" t="inlineStr">
        <is>
          <t>Scope TBD – depends on page count and number of interviews. Rough: new copy for ~10-15 sitemap pages (2-4h/page), ~5 interviews incl prep+write (~6h each), fact-check ~10h. RECOMMEND confirming volume with PM and resourcing via a content/editorial team.</t>
        </is>
      </c>
      <c r="L68" s="2" t="inlineStr">
        <is>
          <t>Editorial</t>
        </is>
      </c>
    </row>
  </sheetData>
  <autoFilter ref="A1:K65"/>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B42"/>
  <sheetViews>
    <sheetView zoomScaleNormal="100" workbookViewId="0">
      <selection activeCell="A1" sqref="A1"/>
    </sheetView>
  </sheetViews>
  <sheetFormatPr baseColWidth="8" defaultColWidth="8.7109375" defaultRowHeight="15"/>
  <cols>
    <col width="22" customWidth="1" min="1" max="1"/>
    <col width="95" customWidth="1" min="2" max="2"/>
  </cols>
  <sheetData>
    <row r="1" ht="48" customHeight="1">
      <c r="A1" s="8" t="inlineStr">
        <is>
          <t>Engineer Hearing Sheet v2 - How to Use</t>
        </is>
      </c>
      <c r="B1" s="8" t="n"/>
    </row>
    <row r="2" ht="15" customHeight="1">
      <c r="A2" s="9" t="n"/>
      <c r="B2" s="9" t="n"/>
    </row>
    <row r="3" ht="15" customHeight="1">
      <c r="A3" s="9" t="inlineStr">
        <is>
          <t>Purpose</t>
        </is>
      </c>
      <c r="B3" s="9" t="n"/>
    </row>
    <row r="4" ht="15" customHeight="1">
      <c r="A4" s="9" t="n"/>
      <c r="B4" s="9" t="inlineStr">
        <is>
          <t>Provide effort estimates (in hours) for engineering tasks. Output feeds into the project quotation.</t>
        </is>
      </c>
    </row>
    <row r="5" ht="15" customHeight="1">
      <c r="A5" s="9" t="n"/>
      <c r="B5" s="9" t="n"/>
    </row>
    <row r="6" ht="15" customHeight="1">
      <c r="A6" s="9" t="inlineStr">
        <is>
          <t>The 'Mode' column</t>
        </is>
      </c>
      <c r="B6" s="9" t="n"/>
    </row>
    <row r="7" ht="15" customHeight="1">
      <c r="A7" s="9" t="inlineStr">
        <is>
          <t>Quick (green)</t>
        </is>
      </c>
      <c r="B7" s="9" t="inlineStr">
        <is>
          <t>Standard work. A rough number is OK. Don't overthink. Aim: &lt;30 seconds per row.</t>
        </is>
      </c>
    </row>
    <row r="8" ht="15" customHeight="1">
      <c r="A8" s="9" t="inlineStr">
        <is>
          <t>Detailed (orange)</t>
        </is>
      </c>
      <c r="B8" s="9" t="inlineStr">
        <is>
          <t>Setup/design choices matter. Think about scenarios, dependencies, risks. Aim: 5-10 minutes per row.</t>
        </is>
      </c>
    </row>
    <row r="9" ht="15" customHeight="1">
      <c r="A9" s="9" t="n"/>
      <c r="B9" s="9" t="inlineStr">
        <is>
          <t>Tip: filter the Mode column to focus on Quick first (~30 rows), then tackle Detailed (~30 rows) when you have a coffee.</t>
        </is>
      </c>
    </row>
    <row r="10" ht="15" customHeight="1">
      <c r="A10" s="9" t="n"/>
      <c r="B10" s="9" t="n"/>
    </row>
    <row r="11" ht="23.25" customHeight="1">
      <c r="A11" s="9" t="inlineStr">
        <is>
          <t>What to fill in (Min/Likely/Max)</t>
        </is>
      </c>
      <c r="B11" s="9" t="n"/>
    </row>
    <row r="12" ht="15" customHeight="1">
      <c r="A12" s="9" t="inlineStr">
        <is>
          <t>Min (hrs)</t>
        </is>
      </c>
      <c r="B12" s="9" t="inlineStr">
        <is>
          <t>Optimistic. Everything goes smoothly. No surprises. No rework.</t>
        </is>
      </c>
    </row>
    <row r="13" ht="15" customHeight="1">
      <c r="A13" s="9" t="inlineStr">
        <is>
          <t>Likely (hrs)</t>
        </is>
      </c>
      <c r="B13" s="9" t="inlineStr">
        <is>
          <t>Realistic. Based on similar work you have done before. Most projects land here.</t>
        </is>
      </c>
    </row>
    <row r="14" ht="15" customHeight="1">
      <c r="A14" s="9" t="inlineStr">
        <is>
          <t>Max (hrs)</t>
        </is>
      </c>
      <c r="B14" s="9" t="inlineStr">
        <is>
          <t>Pessimistic. Significant complications, rework, or scope creep. Worst-case realistic.</t>
        </is>
      </c>
    </row>
    <row r="15" ht="15" customHeight="1">
      <c r="A15" s="9" t="n"/>
      <c r="B15" s="9" t="inlineStr">
        <is>
          <t>These are PERSON-HOURS. 8 hours = 1 person-day.</t>
        </is>
      </c>
    </row>
    <row r="16" ht="15" customHeight="1">
      <c r="A16" s="9" t="n"/>
      <c r="B16" s="9" t="n"/>
    </row>
    <row r="17" ht="23.25" customHeight="1">
      <c r="A17" s="9" t="inlineStr">
        <is>
          <t>The 'Engineer Comments' column</t>
        </is>
      </c>
      <c r="B17" s="9" t="n"/>
    </row>
    <row r="18" ht="15" customHeight="1">
      <c r="A18" s="9" t="n"/>
      <c r="B18" s="9" t="inlineStr">
        <is>
          <t>Use this freely. Any of the following helps the PM:</t>
        </is>
      </c>
    </row>
    <row r="19" ht="15" customHeight="1">
      <c r="A19" s="9" t="n"/>
      <c r="B19" s="9" t="inlineStr">
        <is>
          <t xml:space="preserve">  - Assumptions you made (e.g., 'Assumed ACF Pro is available')</t>
        </is>
      </c>
    </row>
    <row r="20" ht="15" customHeight="1">
      <c r="A20" s="9" t="n"/>
      <c r="B20" s="9" t="inlineStr">
        <is>
          <t xml:space="preserve">  - Scenario branches (e.g., 'If Level A: 16h, If Level AA: 40h')</t>
        </is>
      </c>
    </row>
    <row r="21" ht="15" customHeight="1">
      <c r="A21" s="9" t="n"/>
      <c r="B21" s="9" t="inlineStr">
        <is>
          <t xml:space="preserve">  - Dependencies (e.g., 'Cannot estimate until 7.1 hosting decision')</t>
        </is>
      </c>
    </row>
    <row r="22" ht="15" customHeight="1">
      <c r="A22" s="9" t="n"/>
      <c r="B22" s="9" t="inlineStr">
        <is>
          <t xml:space="preserve">  - Risks (e.g., 'Movable Type export format unknown, may need custom parser')</t>
        </is>
      </c>
    </row>
    <row r="23" ht="15" customHeight="1">
      <c r="A23" s="9" t="n"/>
      <c r="B23" s="9" t="inlineStr">
        <is>
          <t xml:space="preserve">  - Anything else worth flagging</t>
        </is>
      </c>
    </row>
    <row r="24" ht="15" customHeight="1">
      <c r="A24" s="9" t="n"/>
      <c r="B24" s="9" t="n"/>
    </row>
    <row r="25" ht="23.25" customHeight="1">
      <c r="A25" s="9" t="inlineStr">
        <is>
          <t>Reading the Spec Quote (Japanese)</t>
        </is>
      </c>
      <c r="B25" s="9" t="n"/>
    </row>
    <row r="26" ht="23.25" customHeight="1">
      <c r="A26" s="9" t="n"/>
      <c r="B26" s="9" t="inlineStr">
        <is>
          <t>Column F shows the original Japanese spec text (do not translate it). Column G (Context/Note in English) explains the meaning.</t>
        </is>
      </c>
    </row>
    <row r="27" ht="15" customHeight="1">
      <c r="A27" s="9" t="n"/>
      <c r="B27" s="9" t="inlineStr">
        <is>
          <t>If the English context is unclear, ask the PM. Don't guess from translated Japanese.</t>
        </is>
      </c>
    </row>
    <row r="28" ht="15" customHeight="1">
      <c r="A28" s="9" t="n"/>
      <c r="B28" s="9" t="n"/>
    </row>
    <row r="29" ht="23.25" customHeight="1">
      <c r="A29" s="9" t="inlineStr">
        <is>
          <t>Items marked 'AWAITING CLIENT ANSWER'</t>
        </is>
      </c>
      <c r="B29" s="9" t="n"/>
    </row>
    <row r="30" ht="15" customHeight="1">
      <c r="A30" s="9" t="n"/>
      <c r="B30" s="9" t="inlineStr">
        <is>
          <t>The client has not yet confirmed certain points (e.g., accessibility level, hosting type).</t>
        </is>
      </c>
    </row>
    <row r="31" ht="15" customHeight="1">
      <c r="A31" s="9" t="n"/>
      <c r="B31" s="9" t="inlineStr">
        <is>
          <t>For these, provide estimates PER SCENARIO. Example: 'Level A: 16h / Level AA: 40h'.</t>
        </is>
      </c>
    </row>
    <row r="32" ht="15" customHeight="1">
      <c r="A32" s="9" t="n"/>
      <c r="B32" s="9" t="inlineStr">
        <is>
          <t>When the client answers (around 2026-06-09), the PM will pick the right scenario.</t>
        </is>
      </c>
    </row>
    <row r="33" ht="15" customHeight="1">
      <c r="A33" s="9" t="n"/>
      <c r="B33" s="9" t="n"/>
    </row>
    <row r="34" ht="15" customHeight="1">
      <c r="A34" s="9" t="inlineStr">
        <is>
          <t>Color legend</t>
        </is>
      </c>
      <c r="B34" s="9" t="n"/>
    </row>
    <row r="35" ht="15" customHeight="1">
      <c r="A35" s="9" t="inlineStr">
        <is>
          <t>Green cells (Quick)</t>
        </is>
      </c>
      <c r="B35" s="9" t="inlineStr">
        <is>
          <t>Rough number is fine.</t>
        </is>
      </c>
    </row>
    <row r="36" ht="15" customHeight="1">
      <c r="A36" s="9" t="inlineStr">
        <is>
          <t>Orange cells (Detailed)</t>
        </is>
      </c>
      <c r="B36" s="9" t="inlineStr">
        <is>
          <t>Think carefully.</t>
        </is>
      </c>
    </row>
    <row r="37" ht="15" customHeight="1">
      <c r="A37" s="9" t="inlineStr">
        <is>
          <t>Yellow cells</t>
        </is>
      </c>
      <c r="B37" s="9" t="inlineStr">
        <is>
          <t>Your input goes here.</t>
        </is>
      </c>
    </row>
    <row r="38" ht="15" customHeight="1">
      <c r="A38" s="9" t="inlineStr">
        <is>
          <t>White cells</t>
        </is>
      </c>
      <c r="B38" s="9" t="inlineStr">
        <is>
          <t>Pre-filled by PM. Do not edit.</t>
        </is>
      </c>
    </row>
    <row r="39" ht="15" customHeight="1">
      <c r="A39" s="9" t="n"/>
      <c r="B39" s="9" t="n"/>
    </row>
    <row r="40" ht="15" customHeight="1">
      <c r="A40" s="9" t="inlineStr">
        <is>
          <t>Deadline</t>
        </is>
      </c>
      <c r="B40" s="9" t="n"/>
    </row>
    <row r="41" ht="15" customHeight="1">
      <c r="A41" s="9" t="n"/>
      <c r="B41" s="9" t="inlineStr">
        <is>
          <t>Please complete by: [PM to fill in - target: by 2026-06-02 for parallel processing while client question awaits]</t>
        </is>
      </c>
    </row>
    <row r="42" ht="15" customHeight="1">
      <c r="A42" s="9" t="n"/>
      <c r="B42" s="9" t="inlineStr">
        <is>
          <t>Questions: contact [PM contact info]</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F36"/>
  <sheetViews>
    <sheetView zoomScaleNormal="100" workbookViewId="0">
      <selection activeCell="A1" sqref="A1"/>
    </sheetView>
  </sheetViews>
  <sheetFormatPr baseColWidth="8" defaultColWidth="8.7109375" defaultRowHeight="15"/>
  <cols>
    <col width="62" customWidth="1" min="1" max="1"/>
    <col width="14" customWidth="1" min="2" max="6"/>
  </cols>
  <sheetData>
    <row r="1" ht="27.75" customHeight="1">
      <c r="A1" s="14" t="inlineStr">
        <is>
          <t>BY SCOPE (headline)</t>
        </is>
      </c>
      <c r="B1" s="1" t="n"/>
      <c r="C1" s="1" t="n"/>
      <c r="D1" s="1" t="n"/>
      <c r="E1" s="1" t="n"/>
      <c r="F1" s="1" t="n"/>
    </row>
    <row r="2" ht="15" customHeight="1">
      <c r="A2" s="15" t="inlineStr">
        <is>
          <t>Scope</t>
        </is>
      </c>
      <c r="B2" s="16" t="inlineStr">
        <is>
          <t>Count</t>
        </is>
      </c>
      <c r="C2" s="16" t="inlineStr">
        <is>
          <t>Sum Min</t>
        </is>
      </c>
      <c r="D2" s="16" t="inlineStr">
        <is>
          <t>Sum Likely</t>
        </is>
      </c>
      <c r="E2" s="16" t="inlineStr">
        <is>
          <t>Sum Max</t>
        </is>
      </c>
      <c r="F2" s="16" t="inlineStr">
        <is>
          <t>Sum PERT</t>
        </is>
      </c>
    </row>
    <row r="3" ht="15" customHeight="1">
      <c r="A3" s="3" t="inlineStr">
        <is>
          <t>Must-Do</t>
        </is>
      </c>
      <c r="B3" s="10">
        <f>COUNTIF('Eng Hearing Sheet'!L:L,A3)</f>
        <v/>
      </c>
      <c r="C3" s="10">
        <f>SUMIF('Eng Hearing Sheet'!L:L,A3,'Eng Hearing Sheet'!H:H)</f>
        <v/>
      </c>
      <c r="D3" s="10">
        <f>SUMIF('Eng Hearing Sheet'!L:L,A3,'Eng Hearing Sheet'!I:I)</f>
        <v/>
      </c>
      <c r="E3" s="10">
        <f>SUMIF('Eng Hearing Sheet'!L:L,A3,'Eng Hearing Sheet'!J:J)</f>
        <v/>
      </c>
      <c r="F3" s="10">
        <f>IFERROR((C3+4*D3+E3)/6,0)</f>
        <v/>
      </c>
    </row>
    <row r="4" ht="15" customHeight="1">
      <c r="A4" s="11" t="inlineStr">
        <is>
          <t>Editorial</t>
        </is>
      </c>
      <c r="B4" s="12">
        <f>COUNTIF('Eng Hearing Sheet'!L:L,A4)</f>
        <v/>
      </c>
      <c r="C4" s="12">
        <f>SUMIF('Eng Hearing Sheet'!L:L,A4,'Eng Hearing Sheet'!H:H)</f>
        <v/>
      </c>
      <c r="D4" s="12">
        <f>SUMIF('Eng Hearing Sheet'!L:L,A4,'Eng Hearing Sheet'!I:I)</f>
        <v/>
      </c>
      <c r="E4" s="12">
        <f>SUMIF('Eng Hearing Sheet'!L:L,A4,'Eng Hearing Sheet'!J:J)</f>
        <v/>
      </c>
      <c r="F4" s="12">
        <f>IFERROR((C4+4*D4+E4)/6,0)</f>
        <v/>
      </c>
    </row>
    <row r="5">
      <c r="A5" t="inlineStr">
        <is>
          <t>Optional</t>
        </is>
      </c>
      <c r="B5">
        <f>COUNTIF('Eng Hearing Sheet'!L:L,A5)</f>
        <v/>
      </c>
      <c r="C5" s="17">
        <f>SUMIF('Eng Hearing Sheet'!L:L,A5,'Eng Hearing Sheet'!H:H)</f>
        <v/>
      </c>
      <c r="D5" s="17">
        <f>SUMIF('Eng Hearing Sheet'!L:L,A5,'Eng Hearing Sheet'!I:I)</f>
        <v/>
      </c>
      <c r="E5" s="17">
        <f>SUMIF('Eng Hearing Sheet'!L:L,A5,'Eng Hearing Sheet'!J:J)</f>
        <v/>
      </c>
      <c r="F5" s="17">
        <f>IFERROR((C5+4*D5+E5)/6,0)</f>
        <v/>
      </c>
    </row>
    <row r="6">
      <c r="A6" s="18" t="inlineStr">
        <is>
          <t>GRAND TOTAL</t>
        </is>
      </c>
      <c r="B6" s="18">
        <f>SUM(B3:B5)</f>
        <v/>
      </c>
      <c r="C6" s="19">
        <f>SUM(C3:C5)</f>
        <v/>
      </c>
      <c r="D6" s="19">
        <f>SUM(D3:D5)</f>
        <v/>
      </c>
      <c r="E6" s="19">
        <f>SUM(E3:E5)</f>
        <v/>
      </c>
      <c r="F6" s="19">
        <f>SUM(F3:F5)</f>
        <v/>
      </c>
    </row>
    <row r="7" ht="15" customHeight="1">
      <c r="A7" s="13" t="n"/>
    </row>
    <row r="8" ht="27.75" customHeight="1">
      <c r="A8" s="20" t="inlineStr">
        <is>
          <t>Must-Do = core engineering scope for the quote (62 tasks + ADD.2 docs + ADD.3 PM + ADD.4 privacy/security).</t>
        </is>
      </c>
      <c r="B8" s="1" t="n"/>
      <c r="C8" s="1" t="n"/>
      <c r="D8" s="1" t="n"/>
      <c r="E8" s="1" t="n"/>
      <c r="F8" s="1" t="n"/>
    </row>
    <row r="9" ht="15" customHeight="1">
      <c r="A9" s="21" t="inlineStr">
        <is>
          <t>Editorial = ADD.5 copywriting/interviews/fact-check (QA#22). Confirmed in scope but editorial, not engineering – resource via content team.</t>
        </is>
      </c>
      <c r="B9" s="10" t="n"/>
      <c r="C9" s="10" t="n"/>
      <c r="D9" s="10" t="n"/>
      <c r="E9" s="10" t="n"/>
      <c r="F9" s="10" t="n"/>
    </row>
    <row r="10" ht="15" customHeight="1">
      <c r="A10" s="21" t="inlineStr">
        <is>
          <t>Optional = ADD.1 content migration (QA#2/#10) – round-2 value-add proposal, excluded from must-do total.</t>
        </is>
      </c>
      <c r="B10" s="10" t="n"/>
      <c r="C10" s="10" t="n"/>
      <c r="D10" s="10" t="n"/>
      <c r="E10" s="10" t="n"/>
      <c r="F10" s="10" t="n"/>
    </row>
    <row r="11" ht="23.25" customHeight="1">
      <c r="A11" s="21" t="inlineStr">
        <is>
          <t>Note (Prakhar): with AI-assisted coding/docs/migration + strict QA, delivery may land lower (~850h). Cells reflect an average engineer per sheet rules.</t>
        </is>
      </c>
      <c r="B11" s="10" t="n"/>
      <c r="C11" s="10" t="n"/>
      <c r="D11" s="10" t="n"/>
      <c r="E11" s="10" t="n"/>
      <c r="F11" s="10" t="n"/>
    </row>
    <row r="12" ht="15" customHeight="1">
      <c r="A12" s="2" t="n"/>
      <c r="B12" s="10" t="n"/>
      <c r="C12" s="10" t="n"/>
      <c r="D12" s="10" t="n"/>
      <c r="E12" s="10" t="n"/>
      <c r="F12" s="10" t="n"/>
    </row>
    <row r="13" ht="23.25" customHeight="1">
      <c r="A13" s="22" t="inlineStr">
        <is>
          <t>BY MODE</t>
        </is>
      </c>
      <c r="B13" s="10" t="n"/>
      <c r="C13" s="10" t="n"/>
      <c r="D13" s="10" t="n"/>
      <c r="E13" s="10" t="n"/>
      <c r="F13" s="10" t="n"/>
    </row>
    <row r="14" ht="15" customHeight="1">
      <c r="A14" s="23" t="inlineStr">
        <is>
          <t>Mode</t>
        </is>
      </c>
      <c r="B14" s="16" t="inlineStr">
        <is>
          <t>Count</t>
        </is>
      </c>
      <c r="C14" s="16" t="inlineStr">
        <is>
          <t>Sum Min</t>
        </is>
      </c>
      <c r="D14" s="16" t="inlineStr">
        <is>
          <t>Sum Likely</t>
        </is>
      </c>
      <c r="E14" s="16" t="inlineStr">
        <is>
          <t>Sum Max</t>
        </is>
      </c>
      <c r="F14" s="16" t="inlineStr">
        <is>
          <t>Sum PERT</t>
        </is>
      </c>
    </row>
    <row r="15" ht="23.25" customHeight="1">
      <c r="A15" s="2" t="inlineStr">
        <is>
          <t>Quick</t>
        </is>
      </c>
      <c r="B15" s="10">
        <f>COUNTIF('Eng Hearing Sheet'!D:D,A15)</f>
        <v/>
      </c>
      <c r="C15" s="10">
        <f>SUMIF('Eng Hearing Sheet'!D:D,A15,'Eng Hearing Sheet'!H:H)</f>
        <v/>
      </c>
      <c r="D15" s="10">
        <f>SUMIF('Eng Hearing Sheet'!D:D,A15,'Eng Hearing Sheet'!I:I)</f>
        <v/>
      </c>
      <c r="E15" s="10">
        <f>SUMIF('Eng Hearing Sheet'!D:D,A15,'Eng Hearing Sheet'!J:J)</f>
        <v/>
      </c>
      <c r="F15" s="10">
        <f>IFERROR((C15+4*D15+E15)/6,0)</f>
        <v/>
      </c>
    </row>
    <row r="16" ht="15" customHeight="1">
      <c r="A16" s="2" t="inlineStr">
        <is>
          <t>Detailed</t>
        </is>
      </c>
      <c r="B16" s="10">
        <f>COUNTIF('Eng Hearing Sheet'!D:D,A16)</f>
        <v/>
      </c>
      <c r="C16" s="10">
        <f>SUMIF('Eng Hearing Sheet'!D:D,A16,'Eng Hearing Sheet'!H:H)</f>
        <v/>
      </c>
      <c r="D16" s="10">
        <f>SUMIF('Eng Hearing Sheet'!D:D,A16,'Eng Hearing Sheet'!I:I)</f>
        <v/>
      </c>
      <c r="E16" s="10">
        <f>SUMIF('Eng Hearing Sheet'!D:D,A16,'Eng Hearing Sheet'!J:J)</f>
        <v/>
      </c>
      <c r="F16" s="10">
        <f>IFERROR((C16+4*D16+E16)/6,0)</f>
        <v/>
      </c>
    </row>
    <row r="17" ht="23.25" customHeight="1">
      <c r="A17" s="22" t="inlineStr">
        <is>
          <t>TOTAL</t>
        </is>
      </c>
      <c r="B17" s="24">
        <f>SUM(B15:B16)</f>
        <v/>
      </c>
      <c r="C17" s="24">
        <f>SUM(C15:C16)</f>
        <v/>
      </c>
      <c r="D17" s="24">
        <f>SUM(D15:D16)</f>
        <v/>
      </c>
      <c r="E17" s="24">
        <f>SUM(E15:E16)</f>
        <v/>
      </c>
      <c r="F17" s="24">
        <f>SUM(F15:F16)</f>
        <v/>
      </c>
    </row>
    <row r="18" ht="23.25" customHeight="1">
      <c r="A18" s="2" t="n"/>
      <c r="B18" s="10" t="n"/>
      <c r="C18" s="10" t="n"/>
      <c r="D18" s="10" t="n"/>
      <c r="E18" s="10" t="n"/>
      <c r="F18" s="10" t="n"/>
    </row>
    <row r="19" ht="15" customHeight="1">
      <c r="A19" s="22" t="inlineStr">
        <is>
          <t>BY CATEGORY</t>
        </is>
      </c>
      <c r="B19" s="10" t="n"/>
      <c r="C19" s="10" t="n"/>
      <c r="D19" s="10" t="n"/>
      <c r="E19" s="10" t="n"/>
      <c r="F19" s="10" t="n"/>
    </row>
    <row r="20" ht="15" customHeight="1">
      <c r="A20" s="23" t="inlineStr">
        <is>
          <t>Category</t>
        </is>
      </c>
      <c r="B20" s="16" t="inlineStr">
        <is>
          <t>Count</t>
        </is>
      </c>
      <c r="C20" s="16" t="inlineStr">
        <is>
          <t>Sum Min</t>
        </is>
      </c>
      <c r="D20" s="16" t="inlineStr">
        <is>
          <t>Sum Likely</t>
        </is>
      </c>
      <c r="E20" s="16" t="inlineStr">
        <is>
          <t>Sum Max</t>
        </is>
      </c>
      <c r="F20" s="16" t="inlineStr">
        <is>
          <t>Sum PERT</t>
        </is>
      </c>
    </row>
    <row r="21" ht="15" customHeight="1">
      <c r="A21" s="2" t="inlineStr">
        <is>
          <t>Requirements</t>
        </is>
      </c>
      <c r="B21" s="10">
        <f>COUNTIF('Eng Hearing Sheet'!B:B,A21)</f>
        <v/>
      </c>
      <c r="C21" s="10">
        <f>SUMIF('Eng Hearing Sheet'!B:B,A21,'Eng Hearing Sheet'!H:H)</f>
        <v/>
      </c>
      <c r="D21" s="10">
        <f>SUMIF('Eng Hearing Sheet'!B:B,A21,'Eng Hearing Sheet'!I:I)</f>
        <v/>
      </c>
      <c r="E21" s="10">
        <f>SUMIF('Eng Hearing Sheet'!B:B,A21,'Eng Hearing Sheet'!J:J)</f>
        <v/>
      </c>
      <c r="F21" s="10">
        <f>IFERROR((C21+4*D21+E21)/6,0)</f>
        <v/>
      </c>
    </row>
    <row r="22">
      <c r="A22" s="2" t="inlineStr">
        <is>
          <t>Design</t>
        </is>
      </c>
      <c r="B22" s="10">
        <f>COUNTIF('Eng Hearing Sheet'!B:B,A22)</f>
        <v/>
      </c>
      <c r="C22" s="10">
        <f>SUMIF('Eng Hearing Sheet'!B:B,A22,'Eng Hearing Sheet'!H:H)</f>
        <v/>
      </c>
      <c r="D22" s="10">
        <f>SUMIF('Eng Hearing Sheet'!B:B,A22,'Eng Hearing Sheet'!I:I)</f>
        <v/>
      </c>
      <c r="E22" s="10">
        <f>SUMIF('Eng Hearing Sheet'!B:B,A22,'Eng Hearing Sheet'!J:J)</f>
        <v/>
      </c>
      <c r="F22" s="10">
        <f>IFERROR((C22+4*D22+E22)/6,0)</f>
        <v/>
      </c>
    </row>
    <row r="23">
      <c r="A23" s="2" t="inlineStr">
        <is>
          <t>Design (Visual)</t>
        </is>
      </c>
      <c r="B23" s="10">
        <f>COUNTIF('Eng Hearing Sheet'!B:B,A23)</f>
        <v/>
      </c>
      <c r="C23" s="10">
        <f>SUMIF('Eng Hearing Sheet'!B:B,A23,'Eng Hearing Sheet'!H:H)</f>
        <v/>
      </c>
      <c r="D23" s="10">
        <f>SUMIF('Eng Hearing Sheet'!B:B,A23,'Eng Hearing Sheet'!I:I)</f>
        <v/>
      </c>
      <c r="E23" s="10">
        <f>SUMIF('Eng Hearing Sheet'!B:B,A23,'Eng Hearing Sheet'!J:J)</f>
        <v/>
      </c>
      <c r="F23" s="10">
        <f>IFERROR((C23+4*D23+E23)/6,0)</f>
        <v/>
      </c>
    </row>
    <row r="24">
      <c r="A24" t="inlineStr">
        <is>
          <t>Frontend</t>
        </is>
      </c>
      <c r="B24">
        <f>COUNTIF('Eng Hearing Sheet'!B:B,A24)</f>
        <v/>
      </c>
      <c r="C24" s="17">
        <f>SUMIF('Eng Hearing Sheet'!B:B,A24,'Eng Hearing Sheet'!H:H)</f>
        <v/>
      </c>
      <c r="D24" s="17">
        <f>SUMIF('Eng Hearing Sheet'!B:B,A24,'Eng Hearing Sheet'!I:I)</f>
        <v/>
      </c>
      <c r="E24" s="17">
        <f>SUMIF('Eng Hearing Sheet'!B:B,A24,'Eng Hearing Sheet'!J:J)</f>
        <v/>
      </c>
      <c r="F24" s="17">
        <f>IFERROR((C24+4*D24+E24)/6,0)</f>
        <v/>
      </c>
    </row>
    <row r="25">
      <c r="A25" t="inlineStr">
        <is>
          <t>CMS (WordPress)</t>
        </is>
      </c>
      <c r="B25">
        <f>COUNTIF('Eng Hearing Sheet'!B:B,A25)</f>
        <v/>
      </c>
      <c r="C25" s="17">
        <f>SUMIF('Eng Hearing Sheet'!B:B,A25,'Eng Hearing Sheet'!H:H)</f>
        <v/>
      </c>
      <c r="D25" s="17">
        <f>SUMIF('Eng Hearing Sheet'!B:B,A25,'Eng Hearing Sheet'!I:I)</f>
        <v/>
      </c>
      <c r="E25" s="17">
        <f>SUMIF('Eng Hearing Sheet'!B:B,A25,'Eng Hearing Sheet'!J:J)</f>
        <v/>
      </c>
      <c r="F25" s="17">
        <f>IFERROR((C25+4*D25+E25)/6,0)</f>
        <v/>
      </c>
    </row>
    <row r="26">
      <c r="A26" t="inlineStr">
        <is>
          <t>Infrastructure</t>
        </is>
      </c>
      <c r="B26">
        <f>COUNTIF('Eng Hearing Sheet'!B:B,A26)</f>
        <v/>
      </c>
      <c r="C26" s="17">
        <f>SUMIF('Eng Hearing Sheet'!B:B,A26,'Eng Hearing Sheet'!H:H)</f>
        <v/>
      </c>
      <c r="D26" s="17">
        <f>SUMIF('Eng Hearing Sheet'!B:B,A26,'Eng Hearing Sheet'!I:I)</f>
        <v/>
      </c>
      <c r="E26" s="17">
        <f>SUMIF('Eng Hearing Sheet'!B:B,A26,'Eng Hearing Sheet'!J:J)</f>
        <v/>
      </c>
      <c r="F26" s="17">
        <f>IFERROR((C26+4*D26+E26)/6,0)</f>
        <v/>
      </c>
    </row>
    <row r="27">
      <c r="A27" t="inlineStr">
        <is>
          <t>Security / Privacy</t>
        </is>
      </c>
      <c r="B27">
        <f>COUNTIF('Eng Hearing Sheet'!B:B,A27)</f>
        <v/>
      </c>
      <c r="C27" s="17">
        <f>SUMIF('Eng Hearing Sheet'!B:B,A27,'Eng Hearing Sheet'!H:H)</f>
        <v/>
      </c>
      <c r="D27" s="17">
        <f>SUMIF('Eng Hearing Sheet'!B:B,A27,'Eng Hearing Sheet'!I:I)</f>
        <v/>
      </c>
      <c r="E27" s="17">
        <f>SUMIF('Eng Hearing Sheet'!B:B,A27,'Eng Hearing Sheet'!J:J)</f>
        <v/>
      </c>
      <c r="F27" s="17">
        <f>IFERROR((C27+4*D27+E27)/6,0)</f>
        <v/>
      </c>
    </row>
    <row r="28">
      <c r="A28" t="inlineStr">
        <is>
          <t>SEO / Analytics</t>
        </is>
      </c>
      <c r="B28">
        <f>COUNTIF('Eng Hearing Sheet'!B:B,A28)</f>
        <v/>
      </c>
      <c r="C28" s="17">
        <f>SUMIF('Eng Hearing Sheet'!B:B,A28,'Eng Hearing Sheet'!H:H)</f>
        <v/>
      </c>
      <c r="D28" s="17">
        <f>SUMIF('Eng Hearing Sheet'!B:B,A28,'Eng Hearing Sheet'!I:I)</f>
        <v/>
      </c>
      <c r="E28" s="17">
        <f>SUMIF('Eng Hearing Sheet'!B:B,A28,'Eng Hearing Sheet'!J:J)</f>
        <v/>
      </c>
      <c r="F28" s="17">
        <f>IFERROR((C28+4*D28+E28)/6,0)</f>
        <v/>
      </c>
    </row>
    <row r="29">
      <c r="A29" t="inlineStr">
        <is>
          <t>Testing / QA</t>
        </is>
      </c>
      <c r="B29">
        <f>COUNTIF('Eng Hearing Sheet'!B:B,A29)</f>
        <v/>
      </c>
      <c r="C29" s="17">
        <f>SUMIF('Eng Hearing Sheet'!B:B,A29,'Eng Hearing Sheet'!H:H)</f>
        <v/>
      </c>
      <c r="D29" s="17">
        <f>SUMIF('Eng Hearing Sheet'!B:B,A29,'Eng Hearing Sheet'!I:I)</f>
        <v/>
      </c>
      <c r="E29" s="17">
        <f>SUMIF('Eng Hearing Sheet'!B:B,A29,'Eng Hearing Sheet'!J:J)</f>
        <v/>
      </c>
      <c r="F29" s="17">
        <f>IFERROR((C29+4*D29+E29)/6,0)</f>
        <v/>
      </c>
    </row>
    <row r="30">
      <c r="A30" t="inlineStr">
        <is>
          <t>Documentation</t>
        </is>
      </c>
      <c r="B30">
        <f>COUNTIF('Eng Hearing Sheet'!B:B,A30)</f>
        <v/>
      </c>
      <c r="C30" s="17">
        <f>SUMIF('Eng Hearing Sheet'!B:B,A30,'Eng Hearing Sheet'!H:H)</f>
        <v/>
      </c>
      <c r="D30" s="17">
        <f>SUMIF('Eng Hearing Sheet'!B:B,A30,'Eng Hearing Sheet'!I:I)</f>
        <v/>
      </c>
      <c r="E30" s="17">
        <f>SUMIF('Eng Hearing Sheet'!B:B,A30,'Eng Hearing Sheet'!J:J)</f>
        <v/>
      </c>
      <c r="F30" s="17">
        <f>IFERROR((C30+4*D30+E30)/6,0)</f>
        <v/>
      </c>
    </row>
    <row r="31">
      <c r="A31" t="inlineStr">
        <is>
          <t>Launch / Operation</t>
        </is>
      </c>
      <c r="B31">
        <f>COUNTIF('Eng Hearing Sheet'!B:B,A31)</f>
        <v/>
      </c>
      <c r="C31" s="17">
        <f>SUMIF('Eng Hearing Sheet'!B:B,A31,'Eng Hearing Sheet'!H:H)</f>
        <v/>
      </c>
      <c r="D31" s="17">
        <f>SUMIF('Eng Hearing Sheet'!B:B,A31,'Eng Hearing Sheet'!I:I)</f>
        <v/>
      </c>
      <c r="E31" s="17">
        <f>SUMIF('Eng Hearing Sheet'!B:B,A31,'Eng Hearing Sheet'!J:J)</f>
        <v/>
      </c>
      <c r="F31" s="17">
        <f>IFERROR((C31+4*D31+E31)/6,0)</f>
        <v/>
      </c>
    </row>
    <row r="32">
      <c r="A32" t="inlineStr">
        <is>
          <t>Maintenance</t>
        </is>
      </c>
      <c r="B32">
        <f>COUNTIF('Eng Hearing Sheet'!B:B,A32)</f>
        <v/>
      </c>
      <c r="C32" s="17">
        <f>SUMIF('Eng Hearing Sheet'!B:B,A32,'Eng Hearing Sheet'!H:H)</f>
        <v/>
      </c>
      <c r="D32" s="17">
        <f>SUMIF('Eng Hearing Sheet'!B:B,A32,'Eng Hearing Sheet'!I:I)</f>
        <v/>
      </c>
      <c r="E32" s="17">
        <f>SUMIF('Eng Hearing Sheet'!B:B,A32,'Eng Hearing Sheet'!J:J)</f>
        <v/>
      </c>
      <c r="F32" s="17">
        <f>IFERROR((C32+4*D32+E32)/6,0)</f>
        <v/>
      </c>
    </row>
    <row r="33">
      <c r="A33" t="inlineStr">
        <is>
          <t>Handover</t>
        </is>
      </c>
      <c r="B33">
        <f>COUNTIF('Eng Hearing Sheet'!B:B,A33)</f>
        <v/>
      </c>
      <c r="C33" s="17">
        <f>SUMIF('Eng Hearing Sheet'!B:B,A33,'Eng Hearing Sheet'!H:H)</f>
        <v/>
      </c>
      <c r="D33" s="17">
        <f>SUMIF('Eng Hearing Sheet'!B:B,A33,'Eng Hearing Sheet'!I:I)</f>
        <v/>
      </c>
      <c r="E33" s="17">
        <f>SUMIF('Eng Hearing Sheet'!B:B,A33,'Eng Hearing Sheet'!J:J)</f>
        <v/>
      </c>
      <c r="F33" s="17">
        <f>IFERROR((C33+4*D33+E33)/6,0)</f>
        <v/>
      </c>
    </row>
    <row r="34">
      <c r="A34" t="inlineStr">
        <is>
          <t>Content / Editorial</t>
        </is>
      </c>
      <c r="B34">
        <f>COUNTIF('Eng Hearing Sheet'!B:B,A34)</f>
        <v/>
      </c>
      <c r="C34" s="17">
        <f>SUMIF('Eng Hearing Sheet'!B:B,A34,'Eng Hearing Sheet'!H:H)</f>
        <v/>
      </c>
      <c r="D34" s="17">
        <f>SUMIF('Eng Hearing Sheet'!B:B,A34,'Eng Hearing Sheet'!I:I)</f>
        <v/>
      </c>
      <c r="E34" s="17">
        <f>SUMIF('Eng Hearing Sheet'!B:B,A34,'Eng Hearing Sheet'!J:J)</f>
        <v/>
      </c>
      <c r="F34" s="17">
        <f>IFERROR((C34+4*D34+E34)/6,0)</f>
        <v/>
      </c>
    </row>
    <row r="35">
      <c r="A35" t="inlineStr">
        <is>
          <t>Content Migration</t>
        </is>
      </c>
      <c r="B35">
        <f>COUNTIF('Eng Hearing Sheet'!B:B,A35)</f>
        <v/>
      </c>
      <c r="C35" s="17">
        <f>SUMIF('Eng Hearing Sheet'!B:B,A35,'Eng Hearing Sheet'!H:H)</f>
        <v/>
      </c>
      <c r="D35" s="17">
        <f>SUMIF('Eng Hearing Sheet'!B:B,A35,'Eng Hearing Sheet'!I:I)</f>
        <v/>
      </c>
      <c r="E35" s="17">
        <f>SUMIF('Eng Hearing Sheet'!B:B,A35,'Eng Hearing Sheet'!J:J)</f>
        <v/>
      </c>
      <c r="F35" s="17">
        <f>IFERROR((C35+4*D35+E35)/6,0)</f>
        <v/>
      </c>
    </row>
    <row r="36">
      <c r="A36" t="inlineStr">
        <is>
          <t>Project Management</t>
        </is>
      </c>
      <c r="B36">
        <f>COUNTIF('Eng Hearing Sheet'!B:B,A36)</f>
        <v/>
      </c>
      <c r="C36" s="17">
        <f>SUMIF('Eng Hearing Sheet'!B:B,A36,'Eng Hearing Sheet'!H:H)</f>
        <v/>
      </c>
      <c r="D36" s="17">
        <f>SUMIF('Eng Hearing Sheet'!B:B,A36,'Eng Hearing Sheet'!I:I)</f>
        <v/>
      </c>
      <c r="E36" s="17">
        <f>SUMIF('Eng Hearing Sheet'!B:B,A36,'Eng Hearing Sheet'!J:J)</f>
        <v/>
      </c>
      <c r="F36" s="17">
        <f>IFERROR((C36+4*D36+E36)/6,0)</f>
        <v/>
      </c>
    </row>
  </sheetData>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2026-05-25T09:55:21Z</dcterms:created>
  <dcterms:modified xsi:type="dcterms:W3CDTF">2026-06-10T21:25:54Z</dcterms:modified>
  <cp:lastModifiedBy>Martin Kalema</cp:lastModifiedBy>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0x0101007EB2FE665C76B64F917C81EB0F911A48</vt:lpwstr>
  </property>
</Properties>
</file>